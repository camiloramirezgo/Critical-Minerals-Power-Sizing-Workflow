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camilorg_ug_kth_se/Documents/CCG/Critical Minerals/"/>
    </mc:Choice>
  </mc:AlternateContent>
  <xr:revisionPtr revIDLastSave="4" documentId="11_992F942236D04B3DA223AC5E2C3B2BBB867F418F" xr6:coauthVersionLast="47" xr6:coauthVersionMax="47" xr10:uidLastSave="{8374D90D-6914-A143-9C25-5B1307514129}"/>
  <bookViews>
    <workbookView xWindow="0" yWindow="660" windowWidth="34560" windowHeight="19940" xr2:uid="{00000000-000D-0000-FFFF-FFFF00000000}"/>
  </bookViews>
  <sheets>
    <sheet name="CriticalMineral" sheetId="1" r:id="rId1"/>
  </sheets>
  <definedNames>
    <definedName name="_xlnm._FilterDatabase" localSheetId="0" hidden="1">CriticalMineral!$A$1:$AF$43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M363KgyEAdYKeVVOVO4Ld8cQnYKy9IQ0I3poRsh+80="/>
    </ext>
  </extLst>
</workbook>
</file>

<file path=xl/calcChain.xml><?xml version="1.0" encoding="utf-8"?>
<calcChain xmlns="http://schemas.openxmlformats.org/spreadsheetml/2006/main">
  <c r="AL42" i="1" l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<sst xmlns="http://schemas.openxmlformats.org/spreadsheetml/2006/main" count="80" uniqueCount="80">
  <si>
    <t>2022_baseline</t>
  </si>
  <si>
    <t>bau_2040_low_min_threshold_metal_tons_country_unconstrained</t>
  </si>
  <si>
    <t>bau_2040_mid_min_threshold_metal_tons_country_unconstrained</t>
  </si>
  <si>
    <t>bau_2040_high_min_threshold_metal_tons_country_unconstrained</t>
  </si>
  <si>
    <t>early_refining_2040_low_min_threshold_metal_tons_country_unconstrained</t>
  </si>
  <si>
    <t>early_refining_2040_mid_min_threshold_metal_tons_country_unconstrained</t>
  </si>
  <si>
    <t>early_refining_2040_high_min_threshold_metal_tons_country_unconstrained</t>
  </si>
  <si>
    <t>precursor_2040_low_min_threshold_metal_tons_country_unconstrained</t>
  </si>
  <si>
    <t>precursor_2040_mid_min_threshold_metal_tons_country_unconstrained</t>
  </si>
  <si>
    <t>precursor_2040_high_min_threshold_metal_tons_country_unconstrained</t>
  </si>
  <si>
    <t>bau_2040_low_min_threshold_metal_tons_country_constrained</t>
  </si>
  <si>
    <t>bau_2040_mid_min_threshold_metal_tons_country_constrained</t>
  </si>
  <si>
    <t>bau_2040_high_min_threshold_metal_tons_country_constrained</t>
  </si>
  <si>
    <t>early_refining_2040_low_min_threshold_metal_tons_country_constrained</t>
  </si>
  <si>
    <t>early_refining_2040_high_min_threshold_metal_tons_country_constrained</t>
  </si>
  <si>
    <t>precursor_2040_low_min_threshold_metal_tons_country_constrained</t>
  </si>
  <si>
    <t>precursor_2040_mid_min_threshold_metal_tons_country_constrained</t>
  </si>
  <si>
    <t>precursor_2040_high_min_threshold_metal_tons_country_constrained</t>
  </si>
  <si>
    <t>bau_2040_low_min_threshold_metal_tons_region_constrained</t>
  </si>
  <si>
    <t>bau_2040_mid_min_threshold_metal_tons_region_constrained</t>
  </si>
  <si>
    <t>bau_2040_high_min_threshold_metal_tons_region_constrained</t>
  </si>
  <si>
    <t>early_refining_2040_low_min_threshold_metal_tons_region_constrained</t>
  </si>
  <si>
    <t>early_refining_2040_high_min_threshold_metal_tons_region_constrained</t>
  </si>
  <si>
    <t>precursor_2040_low_min_threshold_metal_tons_region_constrained</t>
  </si>
  <si>
    <t>precursor_2040_mid_min_threshold_metal_tons_region_constrained</t>
  </si>
  <si>
    <t>precursor_2040_high_min_threshold_metal_tons_region_constrained</t>
  </si>
  <si>
    <t>bau_2040_low_min_threshold_metal_tons_region_unconstrained</t>
  </si>
  <si>
    <t>bau_2040_mid_min_threshold_metal_tons_region_unconstrained</t>
  </si>
  <si>
    <t>bau_2040_high_min_threshold_metal_tons_region_unconstrained</t>
  </si>
  <si>
    <t>early_refining_2040_low_min_threshold_metal_tons_region_unconstrained</t>
  </si>
  <si>
    <t>early_refining_2040_mid_min_threshold_metal_tons_region_unconstrained</t>
  </si>
  <si>
    <t>early_refining_2040_high_min_threshold_metal_tons_region_unconstrained</t>
  </si>
  <si>
    <t>precursor_2040_low_min_threshold_metal_tons_region_unconstrained</t>
  </si>
  <si>
    <t>precursor_2040_mid_min_threshold_metal_tons_region_unconstrained</t>
  </si>
  <si>
    <t>precursor_2040_high_min_threshold_metal_tons_region_unconstrained</t>
  </si>
  <si>
    <t>AGO_Average Generating Capex ($/KW)</t>
  </si>
  <si>
    <t>AGO_Average Generating Cost ($/kWh)</t>
  </si>
  <si>
    <t>BWA_Average Generating Capex ($/KW)</t>
  </si>
  <si>
    <t>BWA_Average Generating Cost ($/kWh)</t>
  </si>
  <si>
    <t>BWA_Country-level emission factor (Reference Scenario) gCO2eq/kWh</t>
  </si>
  <si>
    <t>BDI_Average Generating Capex ($/KW)</t>
  </si>
  <si>
    <t>BDI_Average Generating Cost ($/kWh)</t>
  </si>
  <si>
    <t>BDI_Country-level emission factor (Reference Scenario) gCO2eq/kWh</t>
  </si>
  <si>
    <t>TZA_Average Generating Capex ($/KW)</t>
  </si>
  <si>
    <t>TZA_Average Generating Cost ($/kWh)</t>
  </si>
  <si>
    <t>TZA_Country-level emission factor (Reference Scenario) gCO2eq/kWh</t>
  </si>
  <si>
    <t>MWI_Average Generating Capex ($/KW)</t>
  </si>
  <si>
    <t>MWI_Average Generating Cost ($/kWh)</t>
  </si>
  <si>
    <t>MWI_Country-level emission factor (Reference Scenario) gCO2eq/kWh</t>
  </si>
  <si>
    <t>MOZ_Average Generating Capex ($/KW)</t>
  </si>
  <si>
    <t>MOZ_Average Generating Cost ($/kWh)</t>
  </si>
  <si>
    <t>MOZ_Country-level emission factor (Reference Scenario) gCO2eq/kWh</t>
  </si>
  <si>
    <t>MDG_Average Generating Capex ($/KW)</t>
  </si>
  <si>
    <t>MDG_Average Generating Cost ($/kWh)</t>
  </si>
  <si>
    <t>MDG_Country-level emission factor (Reference Scenario) gCO2eq/kWh</t>
  </si>
  <si>
    <t>UGA_Average Generating Capex ($/KW)</t>
  </si>
  <si>
    <t>UGA_Average Generating Cost ($/kWh)</t>
  </si>
  <si>
    <t>UGA_Country-level emission factor (Reference Scenario) gCO2eq/kWh</t>
  </si>
  <si>
    <t>ZAF_Average Generating Capex ($/KW)</t>
  </si>
  <si>
    <t>ZAF_Average Generating Cost ($/kWh)</t>
  </si>
  <si>
    <t>ZAF_Country-level emission factor (Reference Scenario) gCO2eq/kWh</t>
  </si>
  <si>
    <t>ZWE_Average Generating Capex ($/KW)</t>
  </si>
  <si>
    <t>ZWE_Average Generating Cost ($/kWh)</t>
  </si>
  <si>
    <t>ZWE_Country-level emission factor (Reference Scenario) gCO2eq/kWh</t>
  </si>
  <si>
    <t>KEN_Average Generating Capex ($/KW)</t>
  </si>
  <si>
    <t>KEN_Average Generating Cost ($/kWh)</t>
  </si>
  <si>
    <t>KEN_Country-level emission factor (Reference Scenario) gCO2eq/kWh</t>
  </si>
  <si>
    <t>COD_Average Generating Capex ($/KW)</t>
  </si>
  <si>
    <t>COD_Average Generating Cost ($/kWh)</t>
  </si>
  <si>
    <t>COD_Country-level emission factor (Reference Scenario) gCO2eq/kWh</t>
  </si>
  <si>
    <t>NAM_Average Generating Capex ($/KW)</t>
  </si>
  <si>
    <t>NAM_Average Generating Cost ($/kWh)</t>
  </si>
  <si>
    <t>NAM_Country-level emission factor (Reference Scenario) gCO2eq/kWh</t>
  </si>
  <si>
    <t>ZMB_Average Generating Capex ($/KW)</t>
  </si>
  <si>
    <t>ZMB_Average Generating Cost ($/kWh)</t>
  </si>
  <si>
    <t>ZMB_Country-level emission factor (Reference Scenario) gCO2eq/kWh</t>
  </si>
  <si>
    <t>Country_param</t>
  </si>
  <si>
    <t>AGO_Country-level emission factor (Reference Scenario) gCO2eq/kWh</t>
  </si>
  <si>
    <t>early_refining_2040_mid_min_threshold_metal_tons_country_constrained</t>
  </si>
  <si>
    <t>early_refining_2040_mid_min_threshold_metal_tons_region_constrained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</si>
</sst>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ptos Narrow"/>
    </font>
    <font>
      <sz val="10"/>
      <color theme="1"/>
      <name val="Aptos Narrow"/>
      <scheme val="minor"/>
    </font>
    <font>
      <sz val="10"/>
      <color rgb="FF1F1F1F"/>
      <name val="Monospace"/>
    </font>
    <font>
      <sz val="10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5" fillId="0" borderId="0" xfId="0" applyFont="1"/>
    <xf numFmtId="2" fontId="3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2" fontId="6" fillId="0" borderId="0" xfId="0" applyNumberFormat="1" applyFont="1"/>
    <xf numFmtId="2" fontId="7" fillId="0" borderId="0" xfId="0" applyNumberFormat="1" applyFont="1" applyAlignment="1">
      <alignment horizontal="right"/>
    </xf>
    <xf numFmtId="2" fontId="6" fillId="2" borderId="0" xfId="0" applyNumberFormat="1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abSelected="1" workbookViewId="0">
      <pane ySplit="1" topLeftCell="A15" activePane="bottomLeft" state="frozen"/>
      <selection pane="bottomLeft"/>
    </sheetView>
  </sheetViews>
  <sheetFormatPr baseColWidth="10" defaultColWidth="12.6640625" defaultRowHeight="15" customHeight="1"/>
  <cols>
    <col min="1" max="1" width="51.1640625" customWidth="1"/>
    <col min="2" max="2" width="5.83203125" customWidth="1"/>
    <col min="3" max="11" width="10.1640625" customWidth="1"/>
    <col min="12" max="12" width="10.83203125" customWidth="1"/>
    <col min="13" max="30" width="10.1640625" customWidth="1"/>
    <col min="31" max="35" width="8.6640625" customWidth="1"/>
  </cols>
  <sheetData>
    <row r="1" spans="1:39" ht="86.25" customHeight="1">
      <c r="A1" s="1" t="s">
        <v>76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78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79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/>
    </row>
    <row r="2" spans="1:39" ht="17.25" customHeight="1">
      <c r="A2" s="1" t="s">
        <v>35</v>
      </c>
      <c r="B2" s="3">
        <v>1641</v>
      </c>
      <c r="C2" s="3">
        <v>1641</v>
      </c>
      <c r="D2" s="3">
        <v>1641</v>
      </c>
      <c r="E2" s="3">
        <v>1641</v>
      </c>
      <c r="F2" s="3">
        <v>1641</v>
      </c>
      <c r="G2" s="3">
        <v>1641</v>
      </c>
      <c r="H2" s="3">
        <v>1641</v>
      </c>
      <c r="I2" s="3">
        <v>1641</v>
      </c>
      <c r="J2" s="3">
        <v>1641</v>
      </c>
      <c r="K2" s="3">
        <v>1641</v>
      </c>
      <c r="L2" s="3">
        <v>1641</v>
      </c>
      <c r="M2" s="3">
        <v>1641</v>
      </c>
      <c r="N2" s="3">
        <v>1641</v>
      </c>
      <c r="O2" s="3">
        <v>1641</v>
      </c>
      <c r="P2" s="3">
        <v>1641</v>
      </c>
      <c r="Q2" s="3">
        <v>1641</v>
      </c>
      <c r="R2" s="3">
        <v>1641</v>
      </c>
      <c r="S2" s="3">
        <v>1641</v>
      </c>
      <c r="T2" s="3">
        <v>1641</v>
      </c>
      <c r="U2" s="3">
        <v>1641</v>
      </c>
      <c r="V2" s="3">
        <v>1641</v>
      </c>
      <c r="W2" s="3">
        <v>1641</v>
      </c>
      <c r="X2" s="3">
        <v>1641</v>
      </c>
      <c r="Y2" s="3">
        <v>1640.8869999999999</v>
      </c>
      <c r="Z2" s="3">
        <v>1640.8869999999999</v>
      </c>
      <c r="AA2" s="3">
        <v>1640.7639999999999</v>
      </c>
      <c r="AB2" s="3">
        <v>1640.7639999999999</v>
      </c>
      <c r="AC2" s="3">
        <v>1640.7639999999999</v>
      </c>
      <c r="AD2" s="3">
        <v>1641</v>
      </c>
      <c r="AE2" s="3">
        <v>1641</v>
      </c>
      <c r="AF2" s="3">
        <v>1641</v>
      </c>
      <c r="AG2" s="3">
        <v>1641</v>
      </c>
      <c r="AH2" s="3">
        <v>1641</v>
      </c>
      <c r="AI2" s="3">
        <v>1641</v>
      </c>
      <c r="AJ2" s="3">
        <v>1641</v>
      </c>
      <c r="AK2" s="3">
        <v>1641</v>
      </c>
      <c r="AL2" s="3">
        <v>1641</v>
      </c>
      <c r="AM2" s="4"/>
    </row>
    <row r="3" spans="1:39" ht="17.25" customHeight="1">
      <c r="A3" s="1" t="s">
        <v>36</v>
      </c>
      <c r="B3" s="5">
        <f t="shared" ref="B3:Z3" si="0">55/1000</f>
        <v>5.5E-2</v>
      </c>
      <c r="C3" s="5">
        <f t="shared" si="0"/>
        <v>5.5E-2</v>
      </c>
      <c r="D3" s="5">
        <f t="shared" si="0"/>
        <v>5.5E-2</v>
      </c>
      <c r="E3" s="5">
        <f t="shared" si="0"/>
        <v>5.5E-2</v>
      </c>
      <c r="F3" s="5">
        <f t="shared" si="0"/>
        <v>5.5E-2</v>
      </c>
      <c r="G3" s="5">
        <f t="shared" si="0"/>
        <v>5.5E-2</v>
      </c>
      <c r="H3" s="5">
        <f t="shared" si="0"/>
        <v>5.5E-2</v>
      </c>
      <c r="I3" s="5">
        <f t="shared" si="0"/>
        <v>5.5E-2</v>
      </c>
      <c r="J3" s="5">
        <f t="shared" si="0"/>
        <v>5.5E-2</v>
      </c>
      <c r="K3" s="5">
        <f t="shared" si="0"/>
        <v>5.5E-2</v>
      </c>
      <c r="L3" s="5">
        <f t="shared" si="0"/>
        <v>5.5E-2</v>
      </c>
      <c r="M3" s="5">
        <f t="shared" si="0"/>
        <v>5.5E-2</v>
      </c>
      <c r="N3" s="5">
        <f t="shared" si="0"/>
        <v>5.5E-2</v>
      </c>
      <c r="O3" s="5">
        <f t="shared" si="0"/>
        <v>5.5E-2</v>
      </c>
      <c r="P3" s="5">
        <f t="shared" si="0"/>
        <v>5.5E-2</v>
      </c>
      <c r="Q3" s="5">
        <f t="shared" si="0"/>
        <v>5.5E-2</v>
      </c>
      <c r="R3" s="5">
        <f t="shared" si="0"/>
        <v>5.5E-2</v>
      </c>
      <c r="S3" s="5">
        <f t="shared" si="0"/>
        <v>5.5E-2</v>
      </c>
      <c r="T3" s="5">
        <f t="shared" si="0"/>
        <v>5.5E-2</v>
      </c>
      <c r="U3" s="5">
        <f t="shared" si="0"/>
        <v>5.5E-2</v>
      </c>
      <c r="V3" s="5">
        <f t="shared" si="0"/>
        <v>5.5E-2</v>
      </c>
      <c r="W3" s="5">
        <f t="shared" si="0"/>
        <v>5.5E-2</v>
      </c>
      <c r="X3" s="5">
        <f t="shared" si="0"/>
        <v>5.5E-2</v>
      </c>
      <c r="Y3" s="5">
        <f t="shared" si="0"/>
        <v>5.5E-2</v>
      </c>
      <c r="Z3" s="5">
        <f t="shared" si="0"/>
        <v>5.5E-2</v>
      </c>
      <c r="AA3" s="5">
        <f t="shared" ref="AA3:AC3" si="1">56/1000</f>
        <v>5.6000000000000001E-2</v>
      </c>
      <c r="AB3" s="5">
        <f t="shared" si="1"/>
        <v>5.6000000000000001E-2</v>
      </c>
      <c r="AC3" s="5">
        <f t="shared" si="1"/>
        <v>5.6000000000000001E-2</v>
      </c>
      <c r="AD3" s="5">
        <f t="shared" ref="AD3:AL3" si="2">55/1000</f>
        <v>5.5E-2</v>
      </c>
      <c r="AE3" s="5">
        <f t="shared" si="2"/>
        <v>5.5E-2</v>
      </c>
      <c r="AF3" s="5">
        <f t="shared" si="2"/>
        <v>5.5E-2</v>
      </c>
      <c r="AG3" s="5">
        <f t="shared" si="2"/>
        <v>5.5E-2</v>
      </c>
      <c r="AH3" s="5">
        <f t="shared" si="2"/>
        <v>5.5E-2</v>
      </c>
      <c r="AI3" s="5">
        <f t="shared" si="2"/>
        <v>5.5E-2</v>
      </c>
      <c r="AJ3" s="5">
        <f t="shared" si="2"/>
        <v>5.5E-2</v>
      </c>
      <c r="AK3" s="5">
        <f t="shared" si="2"/>
        <v>5.5E-2</v>
      </c>
      <c r="AL3" s="5">
        <f t="shared" si="2"/>
        <v>5.5E-2</v>
      </c>
      <c r="AM3" s="4"/>
    </row>
    <row r="4" spans="1:39" ht="17.25" customHeight="1">
      <c r="A4" s="1" t="s">
        <v>77</v>
      </c>
      <c r="B4" s="3">
        <v>127.36068969999999</v>
      </c>
      <c r="C4" s="3">
        <v>127.36068969999999</v>
      </c>
      <c r="D4" s="3">
        <v>127.36068969999999</v>
      </c>
      <c r="E4" s="3">
        <v>127.36068969999999</v>
      </c>
      <c r="F4" s="3">
        <v>127.36068969999999</v>
      </c>
      <c r="G4" s="3">
        <v>127.36068969999999</v>
      </c>
      <c r="H4" s="3">
        <v>127.36068969999999</v>
      </c>
      <c r="I4" s="3">
        <v>127.36068969999999</v>
      </c>
      <c r="J4" s="3">
        <v>127.36068969999999</v>
      </c>
      <c r="K4" s="3">
        <v>127.36068969999999</v>
      </c>
      <c r="L4" s="3">
        <v>127.36068969999999</v>
      </c>
      <c r="M4" s="3">
        <v>127.36068969999999</v>
      </c>
      <c r="N4" s="3">
        <v>127.36068969999999</v>
      </c>
      <c r="O4" s="3">
        <v>127.36068969999999</v>
      </c>
      <c r="P4" s="3">
        <v>127.36068969999999</v>
      </c>
      <c r="Q4" s="3">
        <v>127.36068969999999</v>
      </c>
      <c r="R4" s="3">
        <v>127.36068969999999</v>
      </c>
      <c r="S4" s="3">
        <v>127.36068969999999</v>
      </c>
      <c r="T4" s="3">
        <v>127.36068969999999</v>
      </c>
      <c r="U4" s="3">
        <v>127.36068969999999</v>
      </c>
      <c r="V4" s="3">
        <v>127.36068969999999</v>
      </c>
      <c r="W4" s="3">
        <v>127.36068969999999</v>
      </c>
      <c r="X4" s="3">
        <v>127.36068969999999</v>
      </c>
      <c r="Y4" s="3">
        <v>124.12896550000001</v>
      </c>
      <c r="Z4" s="3">
        <v>124.12896550000001</v>
      </c>
      <c r="AA4" s="3">
        <v>117.417931</v>
      </c>
      <c r="AB4" s="3">
        <v>117.417931</v>
      </c>
      <c r="AC4" s="3">
        <v>117.417931</v>
      </c>
      <c r="AD4" s="3">
        <v>127.36068969999999</v>
      </c>
      <c r="AE4" s="3">
        <v>127.36068969999999</v>
      </c>
      <c r="AF4" s="3">
        <v>127.36068969999999</v>
      </c>
      <c r="AG4" s="3">
        <v>127.36068969999999</v>
      </c>
      <c r="AH4" s="3">
        <v>127.36068969999999</v>
      </c>
      <c r="AI4" s="3">
        <v>127.36068969999999</v>
      </c>
      <c r="AJ4" s="3">
        <v>127.36068969999999</v>
      </c>
      <c r="AK4" s="3">
        <v>127.36068969999999</v>
      </c>
      <c r="AL4" s="3">
        <v>127.36068969999999</v>
      </c>
      <c r="AM4" s="4"/>
    </row>
    <row r="5" spans="1:39" ht="17.25" customHeight="1">
      <c r="A5" s="1" t="s">
        <v>37</v>
      </c>
      <c r="B5" s="3">
        <v>688.81399999999996</v>
      </c>
      <c r="C5" s="3">
        <v>688.81399999999996</v>
      </c>
      <c r="D5" s="3">
        <v>688.81399999999996</v>
      </c>
      <c r="E5" s="3">
        <v>688.81399999999996</v>
      </c>
      <c r="F5" s="3">
        <v>693.18399999999997</v>
      </c>
      <c r="G5" s="3">
        <v>694.35</v>
      </c>
      <c r="H5" s="3">
        <v>693.18399999999997</v>
      </c>
      <c r="I5" s="3">
        <v>692.94600000000003</v>
      </c>
      <c r="J5" s="3">
        <v>693.18399999999997</v>
      </c>
      <c r="K5" s="3">
        <v>693.18399999999997</v>
      </c>
      <c r="L5" s="3">
        <v>688.81399999999996</v>
      </c>
      <c r="M5" s="3">
        <v>688.81399999999996</v>
      </c>
      <c r="N5" s="3">
        <v>688.81399999999996</v>
      </c>
      <c r="O5" s="3">
        <v>688.81399999999996</v>
      </c>
      <c r="P5" s="3">
        <v>688.81399999999996</v>
      </c>
      <c r="Q5" s="3">
        <v>688.81399999999996</v>
      </c>
      <c r="R5" s="3">
        <v>688.81399999999996</v>
      </c>
      <c r="S5" s="3">
        <v>688.81399999999996</v>
      </c>
      <c r="T5" s="3">
        <v>688.81399999999996</v>
      </c>
      <c r="U5" s="3">
        <v>688.81399999999996</v>
      </c>
      <c r="V5" s="3">
        <v>688.81399999999996</v>
      </c>
      <c r="W5" s="3">
        <v>688.81399999999996</v>
      </c>
      <c r="X5" s="3">
        <v>688.81399999999996</v>
      </c>
      <c r="Y5" s="3">
        <v>688.81399999999996</v>
      </c>
      <c r="Z5" s="3">
        <v>688.81399999999996</v>
      </c>
      <c r="AA5" s="3">
        <v>688.81399999999996</v>
      </c>
      <c r="AB5" s="3">
        <v>688.81399999999996</v>
      </c>
      <c r="AC5" s="3">
        <v>688.81399999999996</v>
      </c>
      <c r="AD5" s="3">
        <v>688.81399999999996</v>
      </c>
      <c r="AE5" s="3">
        <v>688.81399999999996</v>
      </c>
      <c r="AF5" s="3">
        <v>688.81399999999996</v>
      </c>
      <c r="AG5" s="3">
        <v>688.81399999999996</v>
      </c>
      <c r="AH5" s="3">
        <v>688.81399999999996</v>
      </c>
      <c r="AI5" s="3">
        <v>688.81399999999996</v>
      </c>
      <c r="AJ5" s="3">
        <v>688.81399999999996</v>
      </c>
      <c r="AK5" s="3">
        <v>688.81399999999996</v>
      </c>
      <c r="AL5" s="3">
        <v>688.81399999999996</v>
      </c>
      <c r="AM5" s="6"/>
    </row>
    <row r="6" spans="1:39" ht="17.25" customHeight="1">
      <c r="A6" s="1" t="s">
        <v>38</v>
      </c>
      <c r="B6" s="5">
        <f t="shared" ref="B6:E6" si="3">100/1000</f>
        <v>0.1</v>
      </c>
      <c r="C6" s="5">
        <f t="shared" si="3"/>
        <v>0.1</v>
      </c>
      <c r="D6" s="5">
        <f t="shared" si="3"/>
        <v>0.1</v>
      </c>
      <c r="E6" s="5">
        <f t="shared" si="3"/>
        <v>0.1</v>
      </c>
      <c r="F6" s="5">
        <f t="shared" ref="F6:K6" si="4">101/1000</f>
        <v>0.10100000000000001</v>
      </c>
      <c r="G6" s="5">
        <f t="shared" si="4"/>
        <v>0.10100000000000001</v>
      </c>
      <c r="H6" s="5">
        <f t="shared" si="4"/>
        <v>0.10100000000000001</v>
      </c>
      <c r="I6" s="5">
        <f t="shared" si="4"/>
        <v>0.10100000000000001</v>
      </c>
      <c r="J6" s="5">
        <f t="shared" si="4"/>
        <v>0.10100000000000001</v>
      </c>
      <c r="K6" s="5">
        <f t="shared" si="4"/>
        <v>0.10100000000000001</v>
      </c>
      <c r="L6" s="5">
        <f t="shared" ref="L6:AL6" si="5">100/1000</f>
        <v>0.1</v>
      </c>
      <c r="M6" s="5">
        <f t="shared" si="5"/>
        <v>0.1</v>
      </c>
      <c r="N6" s="5">
        <f t="shared" si="5"/>
        <v>0.1</v>
      </c>
      <c r="O6" s="5">
        <f t="shared" si="5"/>
        <v>0.1</v>
      </c>
      <c r="P6" s="5">
        <f t="shared" si="5"/>
        <v>0.1</v>
      </c>
      <c r="Q6" s="5">
        <f t="shared" si="5"/>
        <v>0.1</v>
      </c>
      <c r="R6" s="5">
        <f t="shared" si="5"/>
        <v>0.1</v>
      </c>
      <c r="S6" s="5">
        <f t="shared" si="5"/>
        <v>0.1</v>
      </c>
      <c r="T6" s="5">
        <f t="shared" si="5"/>
        <v>0.1</v>
      </c>
      <c r="U6" s="5">
        <f t="shared" si="5"/>
        <v>0.1</v>
      </c>
      <c r="V6" s="5">
        <f t="shared" si="5"/>
        <v>0.1</v>
      </c>
      <c r="W6" s="5">
        <f t="shared" si="5"/>
        <v>0.1</v>
      </c>
      <c r="X6" s="5">
        <f t="shared" si="5"/>
        <v>0.1</v>
      </c>
      <c r="Y6" s="5">
        <f t="shared" si="5"/>
        <v>0.1</v>
      </c>
      <c r="Z6" s="5">
        <f t="shared" si="5"/>
        <v>0.1</v>
      </c>
      <c r="AA6" s="5">
        <f t="shared" si="5"/>
        <v>0.1</v>
      </c>
      <c r="AB6" s="5">
        <f t="shared" si="5"/>
        <v>0.1</v>
      </c>
      <c r="AC6" s="5">
        <f t="shared" si="5"/>
        <v>0.1</v>
      </c>
      <c r="AD6" s="5">
        <f t="shared" si="5"/>
        <v>0.1</v>
      </c>
      <c r="AE6" s="5">
        <f t="shared" si="5"/>
        <v>0.1</v>
      </c>
      <c r="AF6" s="5">
        <f t="shared" si="5"/>
        <v>0.1</v>
      </c>
      <c r="AG6" s="5">
        <f t="shared" si="5"/>
        <v>0.1</v>
      </c>
      <c r="AH6" s="5">
        <f t="shared" si="5"/>
        <v>0.1</v>
      </c>
      <c r="AI6" s="5">
        <f t="shared" si="5"/>
        <v>0.1</v>
      </c>
      <c r="AJ6" s="5">
        <f t="shared" si="5"/>
        <v>0.1</v>
      </c>
      <c r="AK6" s="5">
        <f t="shared" si="5"/>
        <v>0.1</v>
      </c>
      <c r="AL6" s="5">
        <f t="shared" si="5"/>
        <v>0.1</v>
      </c>
      <c r="AM6" s="6"/>
    </row>
    <row r="7" spans="1:39" ht="17.25" customHeight="1">
      <c r="A7" s="1" t="s">
        <v>39</v>
      </c>
      <c r="B7" s="3">
        <v>220.02931000000001</v>
      </c>
      <c r="C7" s="3">
        <v>220.02931000000001</v>
      </c>
      <c r="D7" s="3">
        <v>220.02931000000001</v>
      </c>
      <c r="E7" s="3">
        <v>220.02931000000001</v>
      </c>
      <c r="F7" s="3">
        <v>213.3917241</v>
      </c>
      <c r="G7" s="3">
        <v>213.99103450000001</v>
      </c>
      <c r="H7" s="3">
        <v>213.3917241</v>
      </c>
      <c r="I7" s="3">
        <v>213.20413790000001</v>
      </c>
      <c r="J7" s="3">
        <v>213.3917241</v>
      </c>
      <c r="K7" s="3">
        <v>213.3917241</v>
      </c>
      <c r="L7" s="3">
        <v>220.02931000000001</v>
      </c>
      <c r="M7" s="3">
        <v>220.02931000000001</v>
      </c>
      <c r="N7" s="3">
        <v>220.02931000000001</v>
      </c>
      <c r="O7" s="3">
        <v>220.02931000000001</v>
      </c>
      <c r="P7" s="3">
        <v>220.02931000000001</v>
      </c>
      <c r="Q7" s="3">
        <v>220.02931000000001</v>
      </c>
      <c r="R7" s="3">
        <v>220.02931000000001</v>
      </c>
      <c r="S7" s="3">
        <v>220.02931000000001</v>
      </c>
      <c r="T7" s="3">
        <v>220.02931000000001</v>
      </c>
      <c r="U7" s="3">
        <v>220.02931000000001</v>
      </c>
      <c r="V7" s="3">
        <v>220.02931000000001</v>
      </c>
      <c r="W7" s="3">
        <v>220.02931000000001</v>
      </c>
      <c r="X7" s="3">
        <v>220.02931000000001</v>
      </c>
      <c r="Y7" s="3">
        <v>220.02931000000001</v>
      </c>
      <c r="Z7" s="3">
        <v>220.02931000000001</v>
      </c>
      <c r="AA7" s="3">
        <v>220.02931000000001</v>
      </c>
      <c r="AB7" s="3">
        <v>220.02931000000001</v>
      </c>
      <c r="AC7" s="3">
        <v>220.02931000000001</v>
      </c>
      <c r="AD7" s="3">
        <v>220.02931000000001</v>
      </c>
      <c r="AE7" s="3">
        <v>220.02931000000001</v>
      </c>
      <c r="AF7" s="3">
        <v>220.02931000000001</v>
      </c>
      <c r="AG7" s="3">
        <v>220.02931000000001</v>
      </c>
      <c r="AH7" s="3">
        <v>220.02931000000001</v>
      </c>
      <c r="AI7" s="3">
        <v>220.02931000000001</v>
      </c>
      <c r="AJ7" s="3">
        <v>220.02931000000001</v>
      </c>
      <c r="AK7" s="3">
        <v>220.02931000000001</v>
      </c>
      <c r="AL7" s="3">
        <v>220.02931000000001</v>
      </c>
      <c r="AM7" s="6"/>
    </row>
    <row r="8" spans="1:39" ht="17.25" customHeight="1">
      <c r="A8" s="1" t="s">
        <v>40</v>
      </c>
      <c r="B8" s="3">
        <v>822.02829999999994</v>
      </c>
      <c r="C8" s="3">
        <v>822.01</v>
      </c>
      <c r="D8" s="3">
        <v>822.01</v>
      </c>
      <c r="E8" s="3">
        <v>822.02800000000002</v>
      </c>
      <c r="F8" s="3">
        <v>822.02800000000002</v>
      </c>
      <c r="G8" s="3">
        <v>822.02829999999994</v>
      </c>
      <c r="H8" s="3">
        <v>822.02800000000002</v>
      </c>
      <c r="I8" s="3">
        <v>822.02829999999994</v>
      </c>
      <c r="J8" s="3">
        <v>822.02829999999994</v>
      </c>
      <c r="K8" s="3">
        <v>822.02800000000002</v>
      </c>
      <c r="L8" s="3">
        <v>822.01</v>
      </c>
      <c r="M8" s="3">
        <v>822.02800000000002</v>
      </c>
      <c r="N8" s="3">
        <v>822.02800000000002</v>
      </c>
      <c r="O8" s="3">
        <v>822.02829999999994</v>
      </c>
      <c r="P8" s="3">
        <v>822.02800000000002</v>
      </c>
      <c r="Q8" s="3">
        <v>822.01</v>
      </c>
      <c r="R8" s="3">
        <v>822.02829999999994</v>
      </c>
      <c r="S8" s="3">
        <v>822.02800000000002</v>
      </c>
      <c r="T8" s="3">
        <v>822.01</v>
      </c>
      <c r="U8" s="3">
        <v>822.01</v>
      </c>
      <c r="V8" s="3">
        <v>822.02800000000002</v>
      </c>
      <c r="W8" s="3">
        <v>822.02800000000002</v>
      </c>
      <c r="X8" s="3">
        <v>822.01</v>
      </c>
      <c r="Y8" s="3">
        <v>822.02800000000002</v>
      </c>
      <c r="Z8" s="3">
        <v>822.02800000000002</v>
      </c>
      <c r="AA8" s="3">
        <v>822.01</v>
      </c>
      <c r="AB8" s="3">
        <v>822.02800000000002</v>
      </c>
      <c r="AC8" s="3">
        <v>822.02800000000002</v>
      </c>
      <c r="AD8" s="3">
        <v>822.01</v>
      </c>
      <c r="AE8" s="3">
        <v>822.02800000000002</v>
      </c>
      <c r="AF8" s="3">
        <v>822.02800000000002</v>
      </c>
      <c r="AG8" s="3">
        <v>822.01</v>
      </c>
      <c r="AH8" s="3">
        <v>822.02800000000002</v>
      </c>
      <c r="AI8" s="3">
        <v>822.02800000000002</v>
      </c>
      <c r="AJ8" s="3">
        <v>822.01</v>
      </c>
      <c r="AK8" s="3">
        <v>822.02800000000002</v>
      </c>
      <c r="AL8" s="3">
        <v>822.02800000000002</v>
      </c>
      <c r="AM8" s="6"/>
    </row>
    <row r="9" spans="1:39" ht="17.25" customHeight="1">
      <c r="A9" s="1" t="s">
        <v>41</v>
      </c>
      <c r="B9" s="5">
        <f>160/1000</f>
        <v>0.16</v>
      </c>
      <c r="C9" s="5">
        <f t="shared" ref="C9:F9" si="6">162/1000</f>
        <v>0.16200000000000001</v>
      </c>
      <c r="D9" s="5">
        <f t="shared" si="6"/>
        <v>0.16200000000000001</v>
      </c>
      <c r="E9" s="5">
        <f t="shared" si="6"/>
        <v>0.16200000000000001</v>
      </c>
      <c r="F9" s="5">
        <f t="shared" si="6"/>
        <v>0.16200000000000001</v>
      </c>
      <c r="G9" s="5">
        <f>163/1000</f>
        <v>0.16300000000000001</v>
      </c>
      <c r="H9" s="5">
        <f>162/1000</f>
        <v>0.16200000000000001</v>
      </c>
      <c r="I9" s="5">
        <f>160/1000</f>
        <v>0.16</v>
      </c>
      <c r="J9" s="5">
        <f>163/1000</f>
        <v>0.16300000000000001</v>
      </c>
      <c r="K9" s="5">
        <f t="shared" ref="K9:N9" si="7">162/1000</f>
        <v>0.16200000000000001</v>
      </c>
      <c r="L9" s="5">
        <f t="shared" si="7"/>
        <v>0.16200000000000001</v>
      </c>
      <c r="M9" s="5">
        <f t="shared" si="7"/>
        <v>0.16200000000000001</v>
      </c>
      <c r="N9" s="5">
        <f t="shared" si="7"/>
        <v>0.16200000000000001</v>
      </c>
      <c r="O9" s="5">
        <f>163/1000</f>
        <v>0.16300000000000001</v>
      </c>
      <c r="P9" s="5">
        <f t="shared" ref="P9:Q9" si="8">162/1000</f>
        <v>0.16200000000000001</v>
      </c>
      <c r="Q9" s="5">
        <f t="shared" si="8"/>
        <v>0.16200000000000001</v>
      </c>
      <c r="R9" s="3">
        <f>163/1000</f>
        <v>0.16300000000000001</v>
      </c>
      <c r="S9" s="5">
        <f t="shared" ref="S9:AL9" si="9">162/1000</f>
        <v>0.16200000000000001</v>
      </c>
      <c r="T9" s="5">
        <f t="shared" si="9"/>
        <v>0.16200000000000001</v>
      </c>
      <c r="U9" s="5">
        <f t="shared" si="9"/>
        <v>0.16200000000000001</v>
      </c>
      <c r="V9" s="5">
        <f t="shared" si="9"/>
        <v>0.16200000000000001</v>
      </c>
      <c r="W9" s="5">
        <f t="shared" si="9"/>
        <v>0.16200000000000001</v>
      </c>
      <c r="X9" s="5">
        <f t="shared" si="9"/>
        <v>0.16200000000000001</v>
      </c>
      <c r="Y9" s="5">
        <f t="shared" si="9"/>
        <v>0.16200000000000001</v>
      </c>
      <c r="Z9" s="5">
        <f t="shared" si="9"/>
        <v>0.16200000000000001</v>
      </c>
      <c r="AA9" s="5">
        <f t="shared" si="9"/>
        <v>0.16200000000000001</v>
      </c>
      <c r="AB9" s="5">
        <f t="shared" si="9"/>
        <v>0.16200000000000001</v>
      </c>
      <c r="AC9" s="5">
        <f t="shared" si="9"/>
        <v>0.16200000000000001</v>
      </c>
      <c r="AD9" s="5">
        <f t="shared" si="9"/>
        <v>0.16200000000000001</v>
      </c>
      <c r="AE9" s="5">
        <f t="shared" si="9"/>
        <v>0.16200000000000001</v>
      </c>
      <c r="AF9" s="5">
        <f t="shared" si="9"/>
        <v>0.16200000000000001</v>
      </c>
      <c r="AG9" s="5">
        <f t="shared" si="9"/>
        <v>0.16200000000000001</v>
      </c>
      <c r="AH9" s="5">
        <f t="shared" si="9"/>
        <v>0.16200000000000001</v>
      </c>
      <c r="AI9" s="5">
        <f t="shared" si="9"/>
        <v>0.16200000000000001</v>
      </c>
      <c r="AJ9" s="5">
        <f t="shared" si="9"/>
        <v>0.16200000000000001</v>
      </c>
      <c r="AK9" s="5">
        <f t="shared" si="9"/>
        <v>0.16200000000000001</v>
      </c>
      <c r="AL9" s="5">
        <f t="shared" si="9"/>
        <v>0.16200000000000001</v>
      </c>
      <c r="AM9" s="6"/>
    </row>
    <row r="10" spans="1:39" ht="17.25" customHeight="1">
      <c r="A10" s="1" t="s">
        <v>42</v>
      </c>
      <c r="B10" s="3">
        <v>18.734827589999998</v>
      </c>
      <c r="C10" s="3">
        <v>18.27517241</v>
      </c>
      <c r="D10" s="5">
        <v>18.27517241</v>
      </c>
      <c r="E10" s="5">
        <v>18.204482760000001</v>
      </c>
      <c r="F10" s="5">
        <v>18.332068970000002</v>
      </c>
      <c r="G10" s="3">
        <v>18.131724139999999</v>
      </c>
      <c r="H10" s="3">
        <v>18.332068970000002</v>
      </c>
      <c r="I10" s="5">
        <v>18.734827589999998</v>
      </c>
      <c r="J10" s="3">
        <v>18.131724139999999</v>
      </c>
      <c r="K10" s="3">
        <v>18.332068970000002</v>
      </c>
      <c r="L10" s="3">
        <v>18.27517241</v>
      </c>
      <c r="M10" s="3">
        <v>18.204482760000001</v>
      </c>
      <c r="N10" s="3">
        <v>18.332068970000002</v>
      </c>
      <c r="O10" s="3">
        <v>18.131724139999999</v>
      </c>
      <c r="P10" s="3">
        <v>18.332068970000002</v>
      </c>
      <c r="Q10" s="3">
        <v>18.27517241</v>
      </c>
      <c r="R10" s="3">
        <v>18.131724139999999</v>
      </c>
      <c r="S10" s="3">
        <v>18.332068970000002</v>
      </c>
      <c r="T10" s="3">
        <v>18.27517241</v>
      </c>
      <c r="U10" s="3">
        <v>18.27517241</v>
      </c>
      <c r="V10" s="3">
        <v>18.204482760000001</v>
      </c>
      <c r="W10" s="3">
        <v>18.332068970000002</v>
      </c>
      <c r="X10" s="3">
        <v>18.27517241</v>
      </c>
      <c r="Y10" s="3">
        <v>18.204482760000001</v>
      </c>
      <c r="Z10" s="3">
        <v>18.332068970000002</v>
      </c>
      <c r="AA10" s="3">
        <v>18.27517241</v>
      </c>
      <c r="AB10" s="3">
        <v>18.204482760000001</v>
      </c>
      <c r="AC10" s="3">
        <v>18.332068970000002</v>
      </c>
      <c r="AD10" s="3">
        <v>18.27517241</v>
      </c>
      <c r="AE10" s="3">
        <v>18.204482760000001</v>
      </c>
      <c r="AF10" s="3">
        <v>18.332068970000002</v>
      </c>
      <c r="AG10" s="3">
        <v>18.27517241</v>
      </c>
      <c r="AH10" s="3">
        <v>18.204482760000001</v>
      </c>
      <c r="AI10" s="3">
        <v>18.332068970000002</v>
      </c>
      <c r="AJ10" s="3">
        <v>18.27517241</v>
      </c>
      <c r="AK10" s="3">
        <v>18.204482760000001</v>
      </c>
      <c r="AL10" s="3">
        <v>18.332068970000002</v>
      </c>
      <c r="AM10" s="6"/>
    </row>
    <row r="11" spans="1:39" ht="17.25" customHeight="1">
      <c r="A11" s="1" t="s">
        <v>43</v>
      </c>
      <c r="B11" s="3">
        <v>1307.252</v>
      </c>
      <c r="C11" s="3">
        <v>1307.252</v>
      </c>
      <c r="D11" s="5">
        <v>1307.252</v>
      </c>
      <c r="E11" s="5">
        <v>1307.252</v>
      </c>
      <c r="F11" s="5">
        <v>1307.252</v>
      </c>
      <c r="G11" s="5">
        <v>1263.18262</v>
      </c>
      <c r="H11" s="5">
        <v>1307.252</v>
      </c>
      <c r="I11" s="5">
        <v>1307.252</v>
      </c>
      <c r="J11" s="5">
        <v>1263.18262</v>
      </c>
      <c r="K11" s="5">
        <v>1307.252</v>
      </c>
      <c r="L11" s="3">
        <v>1307.252</v>
      </c>
      <c r="M11" s="3">
        <v>1307.252</v>
      </c>
      <c r="N11" s="3">
        <v>1307.252</v>
      </c>
      <c r="O11" s="3">
        <v>1307.252</v>
      </c>
      <c r="P11" s="3">
        <v>1307.252</v>
      </c>
      <c r="Q11" s="3">
        <v>1307.252</v>
      </c>
      <c r="R11" s="3">
        <v>1307.252</v>
      </c>
      <c r="S11" s="3">
        <v>1307.252</v>
      </c>
      <c r="T11" s="3">
        <v>1307.252</v>
      </c>
      <c r="U11" s="3">
        <v>1307.252</v>
      </c>
      <c r="V11" s="3">
        <v>1307.252</v>
      </c>
      <c r="W11" s="3">
        <v>1307.252</v>
      </c>
      <c r="X11" s="3">
        <v>1307.252</v>
      </c>
      <c r="Y11" s="3">
        <v>1314.7719999999999</v>
      </c>
      <c r="Z11" s="3">
        <v>1310.94</v>
      </c>
      <c r="AA11" s="3">
        <v>1310.94</v>
      </c>
      <c r="AB11" s="3">
        <v>1287.2280000000001</v>
      </c>
      <c r="AC11" s="3">
        <v>1290.7329999999999</v>
      </c>
      <c r="AD11" s="3">
        <v>1307.252</v>
      </c>
      <c r="AE11" s="3">
        <v>1307.252</v>
      </c>
      <c r="AF11" s="3">
        <v>1325.818</v>
      </c>
      <c r="AG11" s="3">
        <v>1314.6089999999999</v>
      </c>
      <c r="AH11" s="3">
        <v>1315.82</v>
      </c>
      <c r="AI11" s="3">
        <v>1310.9425000000001</v>
      </c>
      <c r="AJ11" s="3">
        <v>1310.9425900000001</v>
      </c>
      <c r="AK11" s="3">
        <v>1301.1279999999999</v>
      </c>
      <c r="AL11" s="3">
        <v>1301.12816</v>
      </c>
      <c r="AM11" s="6"/>
    </row>
    <row r="12" spans="1:39" ht="17.25" customHeight="1">
      <c r="A12" s="1" t="s">
        <v>44</v>
      </c>
      <c r="B12" s="5">
        <f t="shared" ref="B12:C12" si="10">55/1000</f>
        <v>5.5E-2</v>
      </c>
      <c r="C12" s="5">
        <f t="shared" si="10"/>
        <v>5.5E-2</v>
      </c>
      <c r="D12" s="5">
        <f>56/1000</f>
        <v>5.6000000000000001E-2</v>
      </c>
      <c r="E12" s="5">
        <f t="shared" ref="E12:F12" si="11">55/1000</f>
        <v>5.5E-2</v>
      </c>
      <c r="F12" s="5">
        <f t="shared" si="11"/>
        <v>5.5E-2</v>
      </c>
      <c r="G12" s="5">
        <f>56/1000</f>
        <v>5.6000000000000001E-2</v>
      </c>
      <c r="H12" s="5">
        <f>55/1000</f>
        <v>5.5E-2</v>
      </c>
      <c r="I12" s="5">
        <f t="shared" ref="I12:J12" si="12">56/1000</f>
        <v>5.6000000000000001E-2</v>
      </c>
      <c r="J12" s="5">
        <f t="shared" si="12"/>
        <v>5.6000000000000001E-2</v>
      </c>
      <c r="K12" s="5">
        <f t="shared" ref="K12:Q12" si="13">55/1000</f>
        <v>5.5E-2</v>
      </c>
      <c r="L12" s="5">
        <f t="shared" si="13"/>
        <v>5.5E-2</v>
      </c>
      <c r="M12" s="5">
        <f t="shared" si="13"/>
        <v>5.5E-2</v>
      </c>
      <c r="N12" s="5">
        <f t="shared" si="13"/>
        <v>5.5E-2</v>
      </c>
      <c r="O12" s="5">
        <f t="shared" si="13"/>
        <v>5.5E-2</v>
      </c>
      <c r="P12" s="5">
        <f t="shared" si="13"/>
        <v>5.5E-2</v>
      </c>
      <c r="Q12" s="5">
        <f t="shared" si="13"/>
        <v>5.5E-2</v>
      </c>
      <c r="R12" s="3">
        <f>56/1000</f>
        <v>5.6000000000000001E-2</v>
      </c>
      <c r="S12" s="5">
        <f t="shared" ref="S12:X12" si="14">55/1000</f>
        <v>5.5E-2</v>
      </c>
      <c r="T12" s="5">
        <f t="shared" si="14"/>
        <v>5.5E-2</v>
      </c>
      <c r="U12" s="5">
        <f t="shared" si="14"/>
        <v>5.5E-2</v>
      </c>
      <c r="V12" s="5">
        <f t="shared" si="14"/>
        <v>5.5E-2</v>
      </c>
      <c r="W12" s="5">
        <f t="shared" si="14"/>
        <v>5.5E-2</v>
      </c>
      <c r="X12" s="5">
        <f t="shared" si="14"/>
        <v>5.5E-2</v>
      </c>
      <c r="Y12" s="3">
        <f>62/1000</f>
        <v>6.2E-2</v>
      </c>
      <c r="Z12" s="3">
        <f t="shared" ref="Z12:AA12" si="15">61/1000</f>
        <v>6.0999999999999999E-2</v>
      </c>
      <c r="AA12" s="3">
        <f t="shared" si="15"/>
        <v>6.0999999999999999E-2</v>
      </c>
      <c r="AB12" s="3">
        <f>59/1000</f>
        <v>5.8999999999999997E-2</v>
      </c>
      <c r="AC12" s="3">
        <f>60/1000</f>
        <v>0.06</v>
      </c>
      <c r="AD12" s="5">
        <f t="shared" ref="AD12:AE12" si="16">55/1000</f>
        <v>5.5E-2</v>
      </c>
      <c r="AE12" s="5">
        <f t="shared" si="16"/>
        <v>5.5E-2</v>
      </c>
      <c r="AF12" s="5">
        <f>62/1000</f>
        <v>6.2E-2</v>
      </c>
      <c r="AG12" s="5">
        <f>61/1000</f>
        <v>6.0999999999999999E-2</v>
      </c>
      <c r="AH12" s="5">
        <f>62/1000</f>
        <v>6.2E-2</v>
      </c>
      <c r="AI12" s="5">
        <f t="shared" ref="AI12:AJ12" si="17">61/1000</f>
        <v>6.0999999999999999E-2</v>
      </c>
      <c r="AJ12" s="5">
        <f t="shared" si="17"/>
        <v>6.0999999999999999E-2</v>
      </c>
      <c r="AK12" s="3">
        <f>60/1000</f>
        <v>0.06</v>
      </c>
      <c r="AL12" s="3">
        <f>61/1000</f>
        <v>6.0999999999999999E-2</v>
      </c>
      <c r="AM12" s="6"/>
    </row>
    <row r="13" spans="1:39" ht="17.25" customHeight="1">
      <c r="A13" s="1" t="s">
        <v>45</v>
      </c>
      <c r="B13" s="3">
        <v>68.509655170000002</v>
      </c>
      <c r="C13" s="3">
        <v>68.509655170000002</v>
      </c>
      <c r="D13" s="5">
        <v>68.202758619999997</v>
      </c>
      <c r="E13" s="5">
        <v>68.509655170000002</v>
      </c>
      <c r="F13" s="5">
        <v>68.509655170000002</v>
      </c>
      <c r="G13" s="5">
        <v>68.04689655</v>
      </c>
      <c r="H13" s="5">
        <v>68.509655170000002</v>
      </c>
      <c r="I13" s="5">
        <v>68.202758619999997</v>
      </c>
      <c r="J13" s="5">
        <v>68.04689655</v>
      </c>
      <c r="K13" s="5">
        <v>68.509655170000002</v>
      </c>
      <c r="L13" s="3">
        <v>68.509655170000002</v>
      </c>
      <c r="M13" s="3">
        <v>68.509655170000002</v>
      </c>
      <c r="N13" s="3">
        <v>68.509655170000002</v>
      </c>
      <c r="O13" s="3">
        <v>68.509655170000002</v>
      </c>
      <c r="P13" s="3">
        <v>68.509655170000002</v>
      </c>
      <c r="Q13" s="3">
        <v>68.509655170000002</v>
      </c>
      <c r="R13" s="3">
        <v>68.202758619999997</v>
      </c>
      <c r="S13" s="3">
        <v>68.509655170000002</v>
      </c>
      <c r="T13" s="3">
        <v>68.509655170000002</v>
      </c>
      <c r="U13" s="3">
        <v>68.509655170000002</v>
      </c>
      <c r="V13" s="3">
        <v>68.509655170000002</v>
      </c>
      <c r="W13" s="3">
        <v>68.509655170000002</v>
      </c>
      <c r="X13" s="3">
        <v>68.509655170000002</v>
      </c>
      <c r="Y13" s="3">
        <v>66.292758620000001</v>
      </c>
      <c r="Z13" s="3">
        <v>66.459655170000005</v>
      </c>
      <c r="AA13" s="3">
        <v>66.459655170000005</v>
      </c>
      <c r="AB13" s="3">
        <v>66.908275860000003</v>
      </c>
      <c r="AC13" s="3">
        <v>66.816551720000007</v>
      </c>
      <c r="AD13" s="3">
        <v>68.509655170000002</v>
      </c>
      <c r="AE13" s="3">
        <v>68.509655170000002</v>
      </c>
      <c r="AF13" s="3">
        <v>66.086206899999993</v>
      </c>
      <c r="AG13" s="3">
        <v>66.349655170000005</v>
      </c>
      <c r="AH13" s="3">
        <v>66.239310340000003</v>
      </c>
      <c r="AI13" s="3">
        <v>66.459655170000005</v>
      </c>
      <c r="AJ13" s="3">
        <v>66.459655170000005</v>
      </c>
      <c r="AK13" s="3">
        <v>66.628275860000002</v>
      </c>
      <c r="AL13" s="3">
        <v>66.628275860000002</v>
      </c>
      <c r="AM13" s="6"/>
    </row>
    <row r="14" spans="1:39" ht="17.25" customHeight="1">
      <c r="A14" s="1" t="s">
        <v>46</v>
      </c>
      <c r="B14" s="5">
        <v>1569.52</v>
      </c>
      <c r="C14" s="3">
        <v>1540.1133</v>
      </c>
      <c r="D14" s="5">
        <v>1569.52</v>
      </c>
      <c r="E14" s="5">
        <v>1544.14</v>
      </c>
      <c r="F14" s="5">
        <v>1529.69</v>
      </c>
      <c r="G14" s="7">
        <v>1540.1133</v>
      </c>
      <c r="H14" s="7">
        <v>1540.1133</v>
      </c>
      <c r="I14" s="5">
        <v>1529.69</v>
      </c>
      <c r="J14" s="7">
        <v>1540.1133</v>
      </c>
      <c r="K14" s="3">
        <v>1529.69</v>
      </c>
      <c r="L14" s="3">
        <v>1544.14</v>
      </c>
      <c r="M14" s="5">
        <v>1569.52</v>
      </c>
      <c r="N14" s="5">
        <v>1569.52</v>
      </c>
      <c r="O14" s="4">
        <v>1529.6914999999999</v>
      </c>
      <c r="P14" s="3">
        <v>1544.14</v>
      </c>
      <c r="Q14" s="3">
        <v>1540.1133</v>
      </c>
      <c r="R14" s="3">
        <v>1529.69</v>
      </c>
      <c r="S14" s="3">
        <v>1540.1133</v>
      </c>
      <c r="T14" s="3">
        <v>1544.14</v>
      </c>
      <c r="U14" s="3">
        <v>1540.1133</v>
      </c>
      <c r="V14" s="5">
        <v>1569.52</v>
      </c>
      <c r="W14" s="3">
        <v>1544.14</v>
      </c>
      <c r="X14" s="3">
        <v>1540.1133</v>
      </c>
      <c r="Y14" s="5">
        <v>1569.52</v>
      </c>
      <c r="Z14" s="3">
        <v>1544.14</v>
      </c>
      <c r="AA14" s="3">
        <v>1540.1133</v>
      </c>
      <c r="AB14" s="5">
        <v>1569.52</v>
      </c>
      <c r="AC14" s="3">
        <v>1544.14</v>
      </c>
      <c r="AD14" s="3">
        <v>1540.1133</v>
      </c>
      <c r="AE14" s="5">
        <v>1569.52</v>
      </c>
      <c r="AF14" s="3">
        <v>1544.14</v>
      </c>
      <c r="AG14" s="3">
        <v>1540.1133</v>
      </c>
      <c r="AH14" s="5">
        <v>1569.52</v>
      </c>
      <c r="AI14" s="3">
        <v>1544.14</v>
      </c>
      <c r="AJ14" s="3">
        <v>1540.1133</v>
      </c>
      <c r="AK14" s="5">
        <v>1569.52</v>
      </c>
      <c r="AL14" s="3">
        <v>1544.14</v>
      </c>
      <c r="AM14" s="6"/>
    </row>
    <row r="15" spans="1:39" ht="17.25" customHeight="1">
      <c r="A15" s="1" t="s">
        <v>47</v>
      </c>
      <c r="B15" s="5">
        <f>49/1000</f>
        <v>4.9000000000000002E-2</v>
      </c>
      <c r="C15" s="5">
        <f>52/1000</f>
        <v>5.1999999999999998E-2</v>
      </c>
      <c r="D15" s="5">
        <f>49/1000</f>
        <v>4.9000000000000002E-2</v>
      </c>
      <c r="E15" s="5">
        <f>52/1000</f>
        <v>5.1999999999999998E-2</v>
      </c>
      <c r="F15" s="5">
        <f>53/1000</f>
        <v>5.2999999999999999E-2</v>
      </c>
      <c r="G15" s="8">
        <f t="shared" ref="G15:H15" si="18">52/1000</f>
        <v>5.1999999999999998E-2</v>
      </c>
      <c r="H15" s="8">
        <f t="shared" si="18"/>
        <v>5.1999999999999998E-2</v>
      </c>
      <c r="I15" s="5">
        <f>53/1000</f>
        <v>5.2999999999999999E-2</v>
      </c>
      <c r="J15" s="8">
        <f>52/1000</f>
        <v>5.1999999999999998E-2</v>
      </c>
      <c r="K15" s="5">
        <f>53/1000</f>
        <v>5.2999999999999999E-2</v>
      </c>
      <c r="L15" s="5">
        <f>52/1000</f>
        <v>5.1999999999999998E-2</v>
      </c>
      <c r="M15" s="5">
        <f t="shared" ref="M15:N15" si="19">49/1000</f>
        <v>4.9000000000000002E-2</v>
      </c>
      <c r="N15" s="5">
        <f t="shared" si="19"/>
        <v>4.9000000000000002E-2</v>
      </c>
      <c r="O15" s="5">
        <f>53/1000</f>
        <v>5.2999999999999999E-2</v>
      </c>
      <c r="P15" s="5">
        <f t="shared" ref="P15:Q15" si="20">52/1000</f>
        <v>5.1999999999999998E-2</v>
      </c>
      <c r="Q15" s="5">
        <f t="shared" si="20"/>
        <v>5.1999999999999998E-2</v>
      </c>
      <c r="R15" s="3">
        <f>53/1000</f>
        <v>5.2999999999999999E-2</v>
      </c>
      <c r="S15" s="5">
        <f t="shared" ref="S15:U15" si="21">52/1000</f>
        <v>5.1999999999999998E-2</v>
      </c>
      <c r="T15" s="5">
        <f t="shared" si="21"/>
        <v>5.1999999999999998E-2</v>
      </c>
      <c r="U15" s="5">
        <f t="shared" si="21"/>
        <v>5.1999999999999998E-2</v>
      </c>
      <c r="V15" s="5">
        <f>49/1000</f>
        <v>4.9000000000000002E-2</v>
      </c>
      <c r="W15" s="5">
        <f t="shared" ref="W15:X15" si="22">52/1000</f>
        <v>5.1999999999999998E-2</v>
      </c>
      <c r="X15" s="5">
        <f t="shared" si="22"/>
        <v>5.1999999999999998E-2</v>
      </c>
      <c r="Y15" s="5">
        <f>49/1000</f>
        <v>4.9000000000000002E-2</v>
      </c>
      <c r="Z15" s="5">
        <f t="shared" ref="Z15:AA15" si="23">52/1000</f>
        <v>5.1999999999999998E-2</v>
      </c>
      <c r="AA15" s="5">
        <f t="shared" si="23"/>
        <v>5.1999999999999998E-2</v>
      </c>
      <c r="AB15" s="5">
        <f>49/1000</f>
        <v>4.9000000000000002E-2</v>
      </c>
      <c r="AC15" s="5">
        <f t="shared" ref="AC15:AD15" si="24">52/1000</f>
        <v>5.1999999999999998E-2</v>
      </c>
      <c r="AD15" s="5">
        <f t="shared" si="24"/>
        <v>5.1999999999999998E-2</v>
      </c>
      <c r="AE15" s="5">
        <f>49/1000</f>
        <v>4.9000000000000002E-2</v>
      </c>
      <c r="AF15" s="5">
        <f t="shared" ref="AF15:AG15" si="25">52/1000</f>
        <v>5.1999999999999998E-2</v>
      </c>
      <c r="AG15" s="5">
        <f t="shared" si="25"/>
        <v>5.1999999999999998E-2</v>
      </c>
      <c r="AH15" s="5">
        <f>49/1000</f>
        <v>4.9000000000000002E-2</v>
      </c>
      <c r="AI15" s="5">
        <f t="shared" ref="AI15:AJ15" si="26">52/1000</f>
        <v>5.1999999999999998E-2</v>
      </c>
      <c r="AJ15" s="5">
        <f t="shared" si="26"/>
        <v>5.1999999999999998E-2</v>
      </c>
      <c r="AK15" s="5">
        <f>49/1000</f>
        <v>4.9000000000000002E-2</v>
      </c>
      <c r="AL15" s="5">
        <f>52/1000</f>
        <v>5.1999999999999998E-2</v>
      </c>
      <c r="AM15" s="6"/>
    </row>
    <row r="16" spans="1:39" ht="17.25" customHeight="1">
      <c r="A16" s="1" t="s">
        <v>48</v>
      </c>
      <c r="B16" s="3">
        <v>14.87137931</v>
      </c>
      <c r="C16" s="3">
        <v>14.476206899999999</v>
      </c>
      <c r="D16" s="3">
        <v>14.87137931</v>
      </c>
      <c r="E16" s="3">
        <v>14.499310339999999</v>
      </c>
      <c r="F16" s="3">
        <v>14.40482759</v>
      </c>
      <c r="G16" s="7">
        <v>14.476206899999999</v>
      </c>
      <c r="H16" s="7">
        <v>14.476206899999999</v>
      </c>
      <c r="I16" s="5">
        <v>14.40482759</v>
      </c>
      <c r="J16" s="7">
        <v>14.476206899999999</v>
      </c>
      <c r="K16" s="3">
        <v>14.40482759</v>
      </c>
      <c r="L16" s="3">
        <v>14.499310339999999</v>
      </c>
      <c r="M16" s="3">
        <v>14.87137931</v>
      </c>
      <c r="N16" s="3">
        <v>14.87137931</v>
      </c>
      <c r="O16" s="3">
        <v>14.40482759</v>
      </c>
      <c r="P16" s="3">
        <v>14.499310339999999</v>
      </c>
      <c r="Q16" s="3">
        <v>14.476206899999999</v>
      </c>
      <c r="R16" s="3">
        <v>14.40482759</v>
      </c>
      <c r="S16" s="3">
        <v>14.476206899999999</v>
      </c>
      <c r="T16" s="3">
        <v>14.499310339999999</v>
      </c>
      <c r="U16" s="3">
        <v>14.476206899999999</v>
      </c>
      <c r="V16" s="3">
        <v>14.87137931</v>
      </c>
      <c r="W16" s="3">
        <v>14.499310339999999</v>
      </c>
      <c r="X16" s="3">
        <v>14.476206899999999</v>
      </c>
      <c r="Y16" s="3">
        <v>14.87137931</v>
      </c>
      <c r="Z16" s="3">
        <v>14.499310339999999</v>
      </c>
      <c r="AA16" s="3">
        <v>14.476206899999999</v>
      </c>
      <c r="AB16" s="3">
        <v>14.87137931</v>
      </c>
      <c r="AC16" s="3">
        <v>14.499310339999999</v>
      </c>
      <c r="AD16" s="3">
        <v>14.476206899999999</v>
      </c>
      <c r="AE16" s="3">
        <v>14.87137931</v>
      </c>
      <c r="AF16" s="3">
        <v>14.499310339999999</v>
      </c>
      <c r="AG16" s="3">
        <v>14.476206899999999</v>
      </c>
      <c r="AH16" s="3">
        <v>14.87137931</v>
      </c>
      <c r="AI16" s="3">
        <v>14.499310339999999</v>
      </c>
      <c r="AJ16" s="3">
        <v>14.476206899999999</v>
      </c>
      <c r="AK16" s="3">
        <v>14.87137931</v>
      </c>
      <c r="AL16" s="3">
        <v>14.499310339999999</v>
      </c>
      <c r="AM16" s="5"/>
    </row>
    <row r="17" spans="1:39" ht="17.25" customHeight="1">
      <c r="A17" s="1" t="s">
        <v>49</v>
      </c>
      <c r="B17" s="3">
        <v>1205.874</v>
      </c>
      <c r="C17" s="3">
        <v>1205.874</v>
      </c>
      <c r="D17" s="3">
        <v>1205.874</v>
      </c>
      <c r="E17" s="3">
        <v>1205.874</v>
      </c>
      <c r="F17" s="3">
        <v>1205.874</v>
      </c>
      <c r="G17" s="3">
        <v>1205.874</v>
      </c>
      <c r="H17" s="3">
        <v>1205.874</v>
      </c>
      <c r="I17" s="5">
        <v>1205.874</v>
      </c>
      <c r="J17" s="3">
        <v>1205.874</v>
      </c>
      <c r="K17" s="3">
        <v>1205.874</v>
      </c>
      <c r="L17" s="3">
        <v>1205.874</v>
      </c>
      <c r="M17" s="3">
        <v>1205.874</v>
      </c>
      <c r="N17" s="3">
        <v>1205.874</v>
      </c>
      <c r="O17" s="3">
        <v>1205.874</v>
      </c>
      <c r="P17" s="3">
        <v>1205.874</v>
      </c>
      <c r="Q17" s="3">
        <v>1205.874</v>
      </c>
      <c r="R17" s="3">
        <v>1205.874</v>
      </c>
      <c r="S17" s="3">
        <v>1205.874</v>
      </c>
      <c r="T17" s="3">
        <v>1205.874</v>
      </c>
      <c r="U17" s="3">
        <v>1205.874</v>
      </c>
      <c r="V17" s="3">
        <v>1205.874</v>
      </c>
      <c r="W17" s="3">
        <v>1205.874</v>
      </c>
      <c r="X17" s="3">
        <v>1205.874</v>
      </c>
      <c r="Y17" s="3">
        <v>1205.874</v>
      </c>
      <c r="Z17" s="3">
        <v>1205.874</v>
      </c>
      <c r="AA17" s="3">
        <v>1205.874</v>
      </c>
      <c r="AB17" s="3">
        <v>1205.874</v>
      </c>
      <c r="AC17" s="3">
        <v>1205.874</v>
      </c>
      <c r="AD17" s="3">
        <v>1205.874</v>
      </c>
      <c r="AE17" s="3">
        <v>1205.874</v>
      </c>
      <c r="AF17" s="3">
        <v>1205.874</v>
      </c>
      <c r="AG17" s="3">
        <v>1210.6796999999999</v>
      </c>
      <c r="AH17" s="3">
        <v>1210.67977</v>
      </c>
      <c r="AI17" s="3">
        <v>1210.6796999999999</v>
      </c>
      <c r="AJ17" s="3">
        <v>1211.74308</v>
      </c>
      <c r="AK17" s="3">
        <v>1211.5619999999999</v>
      </c>
      <c r="AL17" s="3">
        <v>1211.74308</v>
      </c>
      <c r="AM17" s="5"/>
    </row>
    <row r="18" spans="1:39" ht="17.25" customHeight="1">
      <c r="A18" s="1" t="s">
        <v>50</v>
      </c>
      <c r="B18" s="5">
        <f t="shared" ref="B18:AF18" si="27">38/1000</f>
        <v>3.7999999999999999E-2</v>
      </c>
      <c r="C18" s="5">
        <f t="shared" si="27"/>
        <v>3.7999999999999999E-2</v>
      </c>
      <c r="D18" s="5">
        <f t="shared" si="27"/>
        <v>3.7999999999999999E-2</v>
      </c>
      <c r="E18" s="5">
        <f t="shared" si="27"/>
        <v>3.7999999999999999E-2</v>
      </c>
      <c r="F18" s="5">
        <f t="shared" si="27"/>
        <v>3.7999999999999999E-2</v>
      </c>
      <c r="G18" s="5">
        <f t="shared" si="27"/>
        <v>3.7999999999999999E-2</v>
      </c>
      <c r="H18" s="5">
        <f t="shared" si="27"/>
        <v>3.7999999999999999E-2</v>
      </c>
      <c r="I18" s="5">
        <f t="shared" si="27"/>
        <v>3.7999999999999999E-2</v>
      </c>
      <c r="J18" s="5">
        <f t="shared" si="27"/>
        <v>3.7999999999999999E-2</v>
      </c>
      <c r="K18" s="5">
        <f t="shared" si="27"/>
        <v>3.7999999999999999E-2</v>
      </c>
      <c r="L18" s="5">
        <f t="shared" si="27"/>
        <v>3.7999999999999999E-2</v>
      </c>
      <c r="M18" s="5">
        <f t="shared" si="27"/>
        <v>3.7999999999999999E-2</v>
      </c>
      <c r="N18" s="5">
        <f t="shared" si="27"/>
        <v>3.7999999999999999E-2</v>
      </c>
      <c r="O18" s="5">
        <f t="shared" si="27"/>
        <v>3.7999999999999999E-2</v>
      </c>
      <c r="P18" s="5">
        <f t="shared" si="27"/>
        <v>3.7999999999999999E-2</v>
      </c>
      <c r="Q18" s="5">
        <f t="shared" si="27"/>
        <v>3.7999999999999999E-2</v>
      </c>
      <c r="R18" s="5">
        <f t="shared" si="27"/>
        <v>3.7999999999999999E-2</v>
      </c>
      <c r="S18" s="5">
        <f t="shared" si="27"/>
        <v>3.7999999999999999E-2</v>
      </c>
      <c r="T18" s="5">
        <f t="shared" si="27"/>
        <v>3.7999999999999999E-2</v>
      </c>
      <c r="U18" s="5">
        <f t="shared" si="27"/>
        <v>3.7999999999999999E-2</v>
      </c>
      <c r="V18" s="5">
        <f t="shared" si="27"/>
        <v>3.7999999999999999E-2</v>
      </c>
      <c r="W18" s="5">
        <f t="shared" si="27"/>
        <v>3.7999999999999999E-2</v>
      </c>
      <c r="X18" s="5">
        <f t="shared" si="27"/>
        <v>3.7999999999999999E-2</v>
      </c>
      <c r="Y18" s="5">
        <f t="shared" si="27"/>
        <v>3.7999999999999999E-2</v>
      </c>
      <c r="Z18" s="5">
        <f t="shared" si="27"/>
        <v>3.7999999999999999E-2</v>
      </c>
      <c r="AA18" s="5">
        <f t="shared" si="27"/>
        <v>3.7999999999999999E-2</v>
      </c>
      <c r="AB18" s="5">
        <f t="shared" si="27"/>
        <v>3.7999999999999999E-2</v>
      </c>
      <c r="AC18" s="5">
        <f t="shared" si="27"/>
        <v>3.7999999999999999E-2</v>
      </c>
      <c r="AD18" s="5">
        <f t="shared" si="27"/>
        <v>3.7999999999999999E-2</v>
      </c>
      <c r="AE18" s="5">
        <f t="shared" si="27"/>
        <v>3.7999999999999999E-2</v>
      </c>
      <c r="AF18" s="5">
        <f t="shared" si="27"/>
        <v>3.7999999999999999E-2</v>
      </c>
      <c r="AG18" s="5">
        <f t="shared" ref="AG18:AL18" si="28">40/1000</f>
        <v>0.04</v>
      </c>
      <c r="AH18" s="5">
        <f t="shared" si="28"/>
        <v>0.04</v>
      </c>
      <c r="AI18" s="5">
        <f t="shared" si="28"/>
        <v>0.04</v>
      </c>
      <c r="AJ18" s="5">
        <f t="shared" si="28"/>
        <v>0.04</v>
      </c>
      <c r="AK18" s="5">
        <f t="shared" si="28"/>
        <v>0.04</v>
      </c>
      <c r="AL18" s="5">
        <f t="shared" si="28"/>
        <v>0.04</v>
      </c>
      <c r="AM18" s="5"/>
    </row>
    <row r="19" spans="1:39" ht="17.25" customHeight="1">
      <c r="A19" s="1" t="s">
        <v>51</v>
      </c>
      <c r="B19" s="3">
        <v>80.608965519999998</v>
      </c>
      <c r="C19" s="3">
        <v>80.608965519999998</v>
      </c>
      <c r="D19" s="3">
        <v>80.608965519999998</v>
      </c>
      <c r="E19" s="3">
        <v>80.608965519999998</v>
      </c>
      <c r="F19" s="3">
        <v>80.608965519999998</v>
      </c>
      <c r="G19" s="3">
        <v>80.608965519999998</v>
      </c>
      <c r="H19" s="3">
        <v>80.608965519999998</v>
      </c>
      <c r="I19" s="3">
        <v>80.608965519999998</v>
      </c>
      <c r="J19" s="3">
        <v>80.608965519999998</v>
      </c>
      <c r="K19" s="3">
        <v>80.608965519999998</v>
      </c>
      <c r="L19" s="3">
        <v>80.608965519999998</v>
      </c>
      <c r="M19" s="3">
        <v>80.608965519999998</v>
      </c>
      <c r="N19" s="3">
        <v>80.608965519999998</v>
      </c>
      <c r="O19" s="3">
        <v>80.608965519999998</v>
      </c>
      <c r="P19" s="3">
        <v>80.608965519999998</v>
      </c>
      <c r="Q19" s="3">
        <v>80.608965519999998</v>
      </c>
      <c r="R19" s="3">
        <v>80.608965519999998</v>
      </c>
      <c r="S19" s="3">
        <v>80.608965519999998</v>
      </c>
      <c r="T19" s="3">
        <v>80.608965519999998</v>
      </c>
      <c r="U19" s="3">
        <v>80.608965519999998</v>
      </c>
      <c r="V19" s="3">
        <v>80.608965519999998</v>
      </c>
      <c r="W19" s="3">
        <v>80.608965519999998</v>
      </c>
      <c r="X19" s="3">
        <v>80.608965519999998</v>
      </c>
      <c r="Y19" s="3">
        <v>80.608965519999998</v>
      </c>
      <c r="Z19" s="3">
        <v>80.608965519999998</v>
      </c>
      <c r="AA19" s="3">
        <v>80.608965519999998</v>
      </c>
      <c r="AB19" s="3">
        <v>80.608965519999998</v>
      </c>
      <c r="AC19" s="3">
        <v>80.608965519999998</v>
      </c>
      <c r="AD19" s="3">
        <v>80.608965519999998</v>
      </c>
      <c r="AE19" s="3">
        <v>80.608965519999998</v>
      </c>
      <c r="AF19" s="3">
        <v>80.608965519999998</v>
      </c>
      <c r="AG19" s="3">
        <v>80.642758619999995</v>
      </c>
      <c r="AH19" s="3">
        <v>80.642413790000006</v>
      </c>
      <c r="AI19" s="3">
        <v>80.642758619999995</v>
      </c>
      <c r="AJ19" s="3">
        <v>80.656551719999996</v>
      </c>
      <c r="AK19" s="3">
        <v>80.655862069999998</v>
      </c>
      <c r="AL19" s="3">
        <v>80.656551719999996</v>
      </c>
      <c r="AM19" s="5"/>
    </row>
    <row r="20" spans="1:39" ht="17.25" customHeight="1">
      <c r="A20" s="1" t="s">
        <v>52</v>
      </c>
      <c r="B20" s="3">
        <v>1575.539</v>
      </c>
      <c r="C20" s="3">
        <v>1575.539</v>
      </c>
      <c r="D20" s="3">
        <v>1575.539</v>
      </c>
      <c r="E20" s="3">
        <v>1575.539</v>
      </c>
      <c r="F20" s="3">
        <v>1575.539</v>
      </c>
      <c r="G20" s="3">
        <v>1575.539</v>
      </c>
      <c r="H20" s="3">
        <v>1575.539</v>
      </c>
      <c r="I20" s="3">
        <v>1575.539</v>
      </c>
      <c r="J20" s="3">
        <v>1575.539</v>
      </c>
      <c r="K20" s="3">
        <v>1575.539</v>
      </c>
      <c r="L20" s="3">
        <v>1581.9727</v>
      </c>
      <c r="M20" s="3">
        <v>1581.9727</v>
      </c>
      <c r="N20" s="3">
        <v>1581.9727</v>
      </c>
      <c r="O20" s="3">
        <v>1583.1439</v>
      </c>
      <c r="P20" s="9">
        <v>1582.0598299999999</v>
      </c>
      <c r="Q20" s="9">
        <v>1582.0598299999999</v>
      </c>
      <c r="R20" s="3">
        <v>1583.1439</v>
      </c>
      <c r="S20" s="9">
        <v>1582.0598299999999</v>
      </c>
      <c r="T20" s="3">
        <v>1583.1439</v>
      </c>
      <c r="U20" s="3">
        <v>1581.9727</v>
      </c>
      <c r="V20" s="3">
        <v>1581.9727</v>
      </c>
      <c r="W20" s="3">
        <v>1581.9727</v>
      </c>
      <c r="X20" s="3">
        <v>1583.1439</v>
      </c>
      <c r="Y20" s="9">
        <v>1582.0598299999999</v>
      </c>
      <c r="Z20" s="9">
        <v>1582.0598299999999</v>
      </c>
      <c r="AA20" s="3">
        <v>1583.1439</v>
      </c>
      <c r="AB20" s="9">
        <v>1582.0598299999999</v>
      </c>
      <c r="AC20" s="3">
        <v>1583.1439</v>
      </c>
      <c r="AD20" s="3">
        <v>1581.9727</v>
      </c>
      <c r="AE20" s="3">
        <v>1581.9727</v>
      </c>
      <c r="AF20" s="3">
        <v>1581.9727</v>
      </c>
      <c r="AG20" s="3">
        <v>1583.1439</v>
      </c>
      <c r="AH20" s="9">
        <v>1582.0598299999999</v>
      </c>
      <c r="AI20" s="9">
        <v>1582.0598299999999</v>
      </c>
      <c r="AJ20" s="3">
        <v>1583.1439</v>
      </c>
      <c r="AK20" s="9">
        <v>1582.0598299999999</v>
      </c>
      <c r="AL20" s="3">
        <v>1583.1439</v>
      </c>
      <c r="AM20" s="5"/>
    </row>
    <row r="21" spans="1:39" ht="17.25" customHeight="1">
      <c r="A21" s="1" t="s">
        <v>53</v>
      </c>
      <c r="B21" s="5">
        <f t="shared" ref="B21:AL21" si="29">70/1000</f>
        <v>7.0000000000000007E-2</v>
      </c>
      <c r="C21" s="5">
        <f t="shared" si="29"/>
        <v>7.0000000000000007E-2</v>
      </c>
      <c r="D21" s="5">
        <f t="shared" si="29"/>
        <v>7.0000000000000007E-2</v>
      </c>
      <c r="E21" s="5">
        <f t="shared" si="29"/>
        <v>7.0000000000000007E-2</v>
      </c>
      <c r="F21" s="5">
        <f t="shared" si="29"/>
        <v>7.0000000000000007E-2</v>
      </c>
      <c r="G21" s="5">
        <f t="shared" si="29"/>
        <v>7.0000000000000007E-2</v>
      </c>
      <c r="H21" s="5">
        <f t="shared" si="29"/>
        <v>7.0000000000000007E-2</v>
      </c>
      <c r="I21" s="5">
        <f t="shared" si="29"/>
        <v>7.0000000000000007E-2</v>
      </c>
      <c r="J21" s="5">
        <f t="shared" si="29"/>
        <v>7.0000000000000007E-2</v>
      </c>
      <c r="K21" s="5">
        <f t="shared" si="29"/>
        <v>7.0000000000000007E-2</v>
      </c>
      <c r="L21" s="5">
        <f t="shared" si="29"/>
        <v>7.0000000000000007E-2</v>
      </c>
      <c r="M21" s="5">
        <f t="shared" si="29"/>
        <v>7.0000000000000007E-2</v>
      </c>
      <c r="N21" s="5">
        <f t="shared" si="29"/>
        <v>7.0000000000000007E-2</v>
      </c>
      <c r="O21" s="5">
        <f t="shared" si="29"/>
        <v>7.0000000000000007E-2</v>
      </c>
      <c r="P21" s="5">
        <f t="shared" si="29"/>
        <v>7.0000000000000007E-2</v>
      </c>
      <c r="Q21" s="5">
        <f t="shared" si="29"/>
        <v>7.0000000000000007E-2</v>
      </c>
      <c r="R21" s="5">
        <f t="shared" si="29"/>
        <v>7.0000000000000007E-2</v>
      </c>
      <c r="S21" s="5">
        <f t="shared" si="29"/>
        <v>7.0000000000000007E-2</v>
      </c>
      <c r="T21" s="5">
        <f t="shared" si="29"/>
        <v>7.0000000000000007E-2</v>
      </c>
      <c r="U21" s="5">
        <f t="shared" si="29"/>
        <v>7.0000000000000007E-2</v>
      </c>
      <c r="V21" s="5">
        <f t="shared" si="29"/>
        <v>7.0000000000000007E-2</v>
      </c>
      <c r="W21" s="5">
        <f t="shared" si="29"/>
        <v>7.0000000000000007E-2</v>
      </c>
      <c r="X21" s="5">
        <f t="shared" si="29"/>
        <v>7.0000000000000007E-2</v>
      </c>
      <c r="Y21" s="5">
        <f t="shared" si="29"/>
        <v>7.0000000000000007E-2</v>
      </c>
      <c r="Z21" s="5">
        <f t="shared" si="29"/>
        <v>7.0000000000000007E-2</v>
      </c>
      <c r="AA21" s="5">
        <f t="shared" si="29"/>
        <v>7.0000000000000007E-2</v>
      </c>
      <c r="AB21" s="5">
        <f t="shared" si="29"/>
        <v>7.0000000000000007E-2</v>
      </c>
      <c r="AC21" s="5">
        <f t="shared" si="29"/>
        <v>7.0000000000000007E-2</v>
      </c>
      <c r="AD21" s="5">
        <f t="shared" si="29"/>
        <v>7.0000000000000007E-2</v>
      </c>
      <c r="AE21" s="5">
        <f t="shared" si="29"/>
        <v>7.0000000000000007E-2</v>
      </c>
      <c r="AF21" s="5">
        <f t="shared" si="29"/>
        <v>7.0000000000000007E-2</v>
      </c>
      <c r="AG21" s="5">
        <f t="shared" si="29"/>
        <v>7.0000000000000007E-2</v>
      </c>
      <c r="AH21" s="5">
        <f t="shared" si="29"/>
        <v>7.0000000000000007E-2</v>
      </c>
      <c r="AI21" s="5">
        <f t="shared" si="29"/>
        <v>7.0000000000000007E-2</v>
      </c>
      <c r="AJ21" s="5">
        <f t="shared" si="29"/>
        <v>7.0000000000000007E-2</v>
      </c>
      <c r="AK21" s="5">
        <f t="shared" si="29"/>
        <v>7.0000000000000007E-2</v>
      </c>
      <c r="AL21" s="5">
        <f t="shared" si="29"/>
        <v>7.0000000000000007E-2</v>
      </c>
      <c r="AM21" s="5"/>
    </row>
    <row r="22" spans="1:39" ht="17.25" customHeight="1">
      <c r="A22" s="1" t="s">
        <v>54</v>
      </c>
      <c r="B22" s="3">
        <v>97.65793103</v>
      </c>
      <c r="C22" s="3">
        <v>97.65793103</v>
      </c>
      <c r="D22" s="3">
        <v>97.65793103</v>
      </c>
      <c r="E22" s="3">
        <v>97.65793103</v>
      </c>
      <c r="F22" s="3">
        <v>97.65793103</v>
      </c>
      <c r="G22" s="3">
        <v>97.65793103</v>
      </c>
      <c r="H22" s="3">
        <v>97.65793103</v>
      </c>
      <c r="I22" s="3">
        <v>97.65793103</v>
      </c>
      <c r="J22" s="3">
        <v>97.65793103</v>
      </c>
      <c r="K22" s="3">
        <v>97.65793103</v>
      </c>
      <c r="L22" s="3">
        <v>97.65793103</v>
      </c>
      <c r="M22" s="3">
        <v>97.65793103</v>
      </c>
      <c r="N22" s="3">
        <v>97.65793103</v>
      </c>
      <c r="O22" s="3">
        <v>97.655862069999998</v>
      </c>
      <c r="P22" s="10">
        <v>97.657931000000005</v>
      </c>
      <c r="Q22" s="10">
        <v>97.657931000000005</v>
      </c>
      <c r="R22" s="3">
        <v>97.655862069999998</v>
      </c>
      <c r="S22" s="10">
        <v>97.657931000000005</v>
      </c>
      <c r="T22" s="3">
        <v>97.655862069999998</v>
      </c>
      <c r="U22" s="3">
        <v>97.65793103</v>
      </c>
      <c r="V22" s="3">
        <v>97.65793103</v>
      </c>
      <c r="W22" s="3">
        <v>97.65793103</v>
      </c>
      <c r="X22" s="3">
        <v>97.655862069999998</v>
      </c>
      <c r="Y22" s="10">
        <v>97.657931000000005</v>
      </c>
      <c r="Z22" s="10">
        <v>97.657931000000005</v>
      </c>
      <c r="AA22" s="3">
        <v>97.655862069999998</v>
      </c>
      <c r="AB22" s="10">
        <v>97.657931000000005</v>
      </c>
      <c r="AC22" s="3">
        <v>97.655862069999998</v>
      </c>
      <c r="AD22" s="3">
        <v>97.65793103</v>
      </c>
      <c r="AE22" s="3">
        <v>97.65793103</v>
      </c>
      <c r="AF22" s="3">
        <v>97.65793103</v>
      </c>
      <c r="AG22" s="3">
        <v>97.655862069999998</v>
      </c>
      <c r="AH22" s="10">
        <v>97.657931000000005</v>
      </c>
      <c r="AI22" s="10">
        <v>97.657931000000005</v>
      </c>
      <c r="AJ22" s="3">
        <v>97.655862069999998</v>
      </c>
      <c r="AK22" s="10">
        <v>97.657931000000005</v>
      </c>
      <c r="AL22" s="3">
        <v>97.655862069999998</v>
      </c>
      <c r="AM22" s="5"/>
    </row>
    <row r="23" spans="1:39" ht="17.25" customHeight="1">
      <c r="A23" s="1" t="s">
        <v>55</v>
      </c>
      <c r="B23" s="11">
        <v>1408.09</v>
      </c>
      <c r="C23" s="11">
        <v>1408.09</v>
      </c>
      <c r="D23" s="11">
        <v>1408.09</v>
      </c>
      <c r="E23" s="11">
        <v>1408.09</v>
      </c>
      <c r="F23" s="11">
        <v>1408.09</v>
      </c>
      <c r="G23" s="11">
        <v>1408.09</v>
      </c>
      <c r="H23" s="11">
        <v>1408.09</v>
      </c>
      <c r="I23" s="11">
        <v>1408.09</v>
      </c>
      <c r="J23" s="11">
        <v>1408.09</v>
      </c>
      <c r="K23" s="11">
        <v>1408.09</v>
      </c>
      <c r="L23" s="11">
        <v>1408.09</v>
      </c>
      <c r="M23" s="11">
        <v>1408.09</v>
      </c>
      <c r="N23" s="11">
        <v>1408.09</v>
      </c>
      <c r="O23" s="9">
        <v>1408.09</v>
      </c>
      <c r="P23" s="9">
        <v>1408.09</v>
      </c>
      <c r="Q23" s="9">
        <v>1408.09</v>
      </c>
      <c r="R23" s="9">
        <v>1408.09</v>
      </c>
      <c r="S23" s="9">
        <v>1408.09</v>
      </c>
      <c r="T23" s="9">
        <v>1408.09</v>
      </c>
      <c r="U23" s="9">
        <v>1408.09</v>
      </c>
      <c r="V23" s="9">
        <v>1408.09</v>
      </c>
      <c r="W23" s="9">
        <v>1408.09</v>
      </c>
      <c r="X23" s="9">
        <v>1408.09</v>
      </c>
      <c r="Y23" s="9">
        <v>1408.09</v>
      </c>
      <c r="Z23" s="9">
        <v>1408.09</v>
      </c>
      <c r="AA23" s="9">
        <v>1408.09</v>
      </c>
      <c r="AB23" s="9">
        <v>1408.09</v>
      </c>
      <c r="AC23" s="9">
        <v>1408.09</v>
      </c>
      <c r="AD23" s="9">
        <v>1408.09</v>
      </c>
      <c r="AE23" s="9">
        <v>1408.09</v>
      </c>
      <c r="AF23" s="9">
        <v>1408.09</v>
      </c>
      <c r="AG23" s="9">
        <v>1408.09</v>
      </c>
      <c r="AH23" s="9">
        <v>1408.09</v>
      </c>
      <c r="AI23" s="9">
        <v>1408.09</v>
      </c>
      <c r="AJ23" s="9">
        <v>1408.09</v>
      </c>
      <c r="AK23" s="9">
        <v>1408.09</v>
      </c>
      <c r="AL23" s="9">
        <v>1408.09</v>
      </c>
      <c r="AM23" s="5"/>
    </row>
    <row r="24" spans="1:39" ht="17.25" customHeight="1">
      <c r="A24" s="1" t="s">
        <v>56</v>
      </c>
      <c r="B24" s="5">
        <f t="shared" ref="B24:AL24" si="30">64/1000</f>
        <v>6.4000000000000001E-2</v>
      </c>
      <c r="C24" s="5">
        <f t="shared" si="30"/>
        <v>6.4000000000000001E-2</v>
      </c>
      <c r="D24" s="5">
        <f t="shared" si="30"/>
        <v>6.4000000000000001E-2</v>
      </c>
      <c r="E24" s="5">
        <f t="shared" si="30"/>
        <v>6.4000000000000001E-2</v>
      </c>
      <c r="F24" s="5">
        <f t="shared" si="30"/>
        <v>6.4000000000000001E-2</v>
      </c>
      <c r="G24" s="5">
        <f t="shared" si="30"/>
        <v>6.4000000000000001E-2</v>
      </c>
      <c r="H24" s="5">
        <f t="shared" si="30"/>
        <v>6.4000000000000001E-2</v>
      </c>
      <c r="I24" s="5">
        <f t="shared" si="30"/>
        <v>6.4000000000000001E-2</v>
      </c>
      <c r="J24" s="5">
        <f t="shared" si="30"/>
        <v>6.4000000000000001E-2</v>
      </c>
      <c r="K24" s="5">
        <f t="shared" si="30"/>
        <v>6.4000000000000001E-2</v>
      </c>
      <c r="L24" s="5">
        <f t="shared" si="30"/>
        <v>6.4000000000000001E-2</v>
      </c>
      <c r="M24" s="5">
        <f t="shared" si="30"/>
        <v>6.4000000000000001E-2</v>
      </c>
      <c r="N24" s="5">
        <f t="shared" si="30"/>
        <v>6.4000000000000001E-2</v>
      </c>
      <c r="O24" s="5">
        <f t="shared" si="30"/>
        <v>6.4000000000000001E-2</v>
      </c>
      <c r="P24" s="5">
        <f t="shared" si="30"/>
        <v>6.4000000000000001E-2</v>
      </c>
      <c r="Q24" s="5">
        <f t="shared" si="30"/>
        <v>6.4000000000000001E-2</v>
      </c>
      <c r="R24" s="5">
        <f t="shared" si="30"/>
        <v>6.4000000000000001E-2</v>
      </c>
      <c r="S24" s="5">
        <f t="shared" si="30"/>
        <v>6.4000000000000001E-2</v>
      </c>
      <c r="T24" s="5">
        <f t="shared" si="30"/>
        <v>6.4000000000000001E-2</v>
      </c>
      <c r="U24" s="5">
        <f t="shared" si="30"/>
        <v>6.4000000000000001E-2</v>
      </c>
      <c r="V24" s="5">
        <f t="shared" si="30"/>
        <v>6.4000000000000001E-2</v>
      </c>
      <c r="W24" s="5">
        <f t="shared" si="30"/>
        <v>6.4000000000000001E-2</v>
      </c>
      <c r="X24" s="5">
        <f t="shared" si="30"/>
        <v>6.4000000000000001E-2</v>
      </c>
      <c r="Y24" s="5">
        <f t="shared" si="30"/>
        <v>6.4000000000000001E-2</v>
      </c>
      <c r="Z24" s="5">
        <f t="shared" si="30"/>
        <v>6.4000000000000001E-2</v>
      </c>
      <c r="AA24" s="5">
        <f t="shared" si="30"/>
        <v>6.4000000000000001E-2</v>
      </c>
      <c r="AB24" s="5">
        <f t="shared" si="30"/>
        <v>6.4000000000000001E-2</v>
      </c>
      <c r="AC24" s="5">
        <f t="shared" si="30"/>
        <v>6.4000000000000001E-2</v>
      </c>
      <c r="AD24" s="5">
        <f t="shared" si="30"/>
        <v>6.4000000000000001E-2</v>
      </c>
      <c r="AE24" s="5">
        <f t="shared" si="30"/>
        <v>6.4000000000000001E-2</v>
      </c>
      <c r="AF24" s="5">
        <f t="shared" si="30"/>
        <v>6.4000000000000001E-2</v>
      </c>
      <c r="AG24" s="5">
        <f t="shared" si="30"/>
        <v>6.4000000000000001E-2</v>
      </c>
      <c r="AH24" s="5">
        <f t="shared" si="30"/>
        <v>6.4000000000000001E-2</v>
      </c>
      <c r="AI24" s="5">
        <f t="shared" si="30"/>
        <v>6.4000000000000001E-2</v>
      </c>
      <c r="AJ24" s="5">
        <f t="shared" si="30"/>
        <v>6.4000000000000001E-2</v>
      </c>
      <c r="AK24" s="5">
        <f t="shared" si="30"/>
        <v>6.4000000000000001E-2</v>
      </c>
      <c r="AL24" s="5">
        <f t="shared" si="30"/>
        <v>6.4000000000000001E-2</v>
      </c>
      <c r="AM24" s="5"/>
    </row>
    <row r="25" spans="1:39" ht="17.25" customHeight="1">
      <c r="A25" s="1" t="s">
        <v>57</v>
      </c>
      <c r="B25" s="5">
        <v>36.381034499999998</v>
      </c>
      <c r="C25" s="5">
        <v>36.381034499999998</v>
      </c>
      <c r="D25" s="5">
        <v>36.381034499999998</v>
      </c>
      <c r="E25" s="5">
        <v>36.381034499999998</v>
      </c>
      <c r="F25" s="5">
        <v>36.381034499999998</v>
      </c>
      <c r="G25" s="5">
        <v>36.381034499999998</v>
      </c>
      <c r="H25" s="5">
        <v>36.381034499999998</v>
      </c>
      <c r="I25" s="5">
        <v>36.381034499999998</v>
      </c>
      <c r="J25" s="5">
        <v>36.381034499999998</v>
      </c>
      <c r="K25" s="5">
        <v>36.381034499999998</v>
      </c>
      <c r="L25" s="5">
        <v>36.381034499999998</v>
      </c>
      <c r="M25" s="5">
        <v>36.381034499999998</v>
      </c>
      <c r="N25" s="5">
        <v>36.381034499999998</v>
      </c>
      <c r="O25" s="5">
        <v>36.381034499999998</v>
      </c>
      <c r="P25" s="5">
        <v>36.381034499999998</v>
      </c>
      <c r="Q25" s="5">
        <v>36.381034499999998</v>
      </c>
      <c r="R25" s="5">
        <v>36.381034499999998</v>
      </c>
      <c r="S25" s="5">
        <v>36.381034499999998</v>
      </c>
      <c r="T25" s="5">
        <v>36.381034499999998</v>
      </c>
      <c r="U25" s="5">
        <v>36.381034499999998</v>
      </c>
      <c r="V25" s="5">
        <v>36.381034499999998</v>
      </c>
      <c r="W25" s="5">
        <v>36.381034499999998</v>
      </c>
      <c r="X25" s="5">
        <v>36.381034499999998</v>
      </c>
      <c r="Y25" s="5">
        <v>36.381034499999998</v>
      </c>
      <c r="Z25" s="5">
        <v>36.381034499999998</v>
      </c>
      <c r="AA25" s="5">
        <v>36.381034499999998</v>
      </c>
      <c r="AB25" s="5">
        <v>36.381034499999998</v>
      </c>
      <c r="AC25" s="5">
        <v>36.381034499999998</v>
      </c>
      <c r="AD25" s="5">
        <v>36.381034499999998</v>
      </c>
      <c r="AE25" s="5">
        <v>36.381034499999998</v>
      </c>
      <c r="AF25" s="5">
        <v>36.381034499999998</v>
      </c>
      <c r="AG25" s="5">
        <v>36.381034499999998</v>
      </c>
      <c r="AH25" s="5">
        <v>36.381034499999998</v>
      </c>
      <c r="AI25" s="5">
        <v>36.381034499999998</v>
      </c>
      <c r="AJ25" s="5">
        <v>36.381034499999998</v>
      </c>
      <c r="AK25" s="5">
        <v>36.381034499999998</v>
      </c>
      <c r="AL25" s="5">
        <v>36.381034499999998</v>
      </c>
      <c r="AM25" s="5"/>
    </row>
    <row r="26" spans="1:39" ht="17.25" customHeight="1">
      <c r="A26" s="1" t="s">
        <v>58</v>
      </c>
      <c r="B26" s="3">
        <v>624.37879999999996</v>
      </c>
      <c r="C26" s="3">
        <v>624.37879999999996</v>
      </c>
      <c r="D26" s="3">
        <v>624.37879999999996</v>
      </c>
      <c r="E26" s="3">
        <v>624.37879999999996</v>
      </c>
      <c r="F26" s="3">
        <v>624.37879999999996</v>
      </c>
      <c r="G26" s="3">
        <v>624.37879999999996</v>
      </c>
      <c r="H26" s="3">
        <v>624.37879999999996</v>
      </c>
      <c r="I26" s="3">
        <v>624.37879999999996</v>
      </c>
      <c r="J26" s="3">
        <v>624.37879999999996</v>
      </c>
      <c r="K26" s="3">
        <v>624.37879999999996</v>
      </c>
      <c r="L26" s="3">
        <v>624.37879999999996</v>
      </c>
      <c r="M26" s="3">
        <v>624.37879999999996</v>
      </c>
      <c r="N26" s="3">
        <v>624.37879999999996</v>
      </c>
      <c r="O26" s="3">
        <v>624.37879999999996</v>
      </c>
      <c r="P26" s="3">
        <v>624.37879999999996</v>
      </c>
      <c r="Q26" s="3">
        <v>624.37879999999996</v>
      </c>
      <c r="R26" s="3">
        <v>624.37879999999996</v>
      </c>
      <c r="S26" s="3">
        <v>624.37879999999996</v>
      </c>
      <c r="T26" s="3">
        <v>624.37879999999996</v>
      </c>
      <c r="U26" s="3">
        <v>624.37879999999996</v>
      </c>
      <c r="V26" s="3">
        <v>624.37879999999996</v>
      </c>
      <c r="W26" s="3">
        <v>624.37879999999996</v>
      </c>
      <c r="X26" s="3">
        <v>624.37879999999996</v>
      </c>
      <c r="Y26" s="3">
        <v>624.37879999999996</v>
      </c>
      <c r="Z26" s="3">
        <v>624.37879999999996</v>
      </c>
      <c r="AA26" s="3">
        <v>624.37879999999996</v>
      </c>
      <c r="AB26" s="3">
        <v>624.37879999999996</v>
      </c>
      <c r="AC26" s="3">
        <v>624.37879999999996</v>
      </c>
      <c r="AD26" s="3">
        <v>624.37879999999996</v>
      </c>
      <c r="AE26" s="3">
        <v>624.37879999999996</v>
      </c>
      <c r="AF26" s="3">
        <v>624.37879999999996</v>
      </c>
      <c r="AG26" s="3">
        <v>624.37879999999996</v>
      </c>
      <c r="AH26" s="3">
        <v>624.37879999999996</v>
      </c>
      <c r="AI26" s="3">
        <v>624.37879999999996</v>
      </c>
      <c r="AJ26" s="3">
        <v>624.37879999999996</v>
      </c>
      <c r="AK26" s="3">
        <v>624.37879999999996</v>
      </c>
      <c r="AL26" s="3">
        <v>624.37879999999996</v>
      </c>
      <c r="AM26" s="5"/>
    </row>
    <row r="27" spans="1:39" ht="17.25" customHeight="1">
      <c r="A27" s="1" t="s">
        <v>59</v>
      </c>
      <c r="B27" s="5">
        <f t="shared" ref="B27:AL27" si="31">56/1000</f>
        <v>5.6000000000000001E-2</v>
      </c>
      <c r="C27" s="5">
        <f t="shared" si="31"/>
        <v>5.6000000000000001E-2</v>
      </c>
      <c r="D27" s="5">
        <f t="shared" si="31"/>
        <v>5.6000000000000001E-2</v>
      </c>
      <c r="E27" s="5">
        <f t="shared" si="31"/>
        <v>5.6000000000000001E-2</v>
      </c>
      <c r="F27" s="5">
        <f t="shared" si="31"/>
        <v>5.6000000000000001E-2</v>
      </c>
      <c r="G27" s="5">
        <f t="shared" si="31"/>
        <v>5.6000000000000001E-2</v>
      </c>
      <c r="H27" s="5">
        <f t="shared" si="31"/>
        <v>5.6000000000000001E-2</v>
      </c>
      <c r="I27" s="5">
        <f t="shared" si="31"/>
        <v>5.6000000000000001E-2</v>
      </c>
      <c r="J27" s="5">
        <f t="shared" si="31"/>
        <v>5.6000000000000001E-2</v>
      </c>
      <c r="K27" s="5">
        <f t="shared" si="31"/>
        <v>5.6000000000000001E-2</v>
      </c>
      <c r="L27" s="5">
        <f t="shared" si="31"/>
        <v>5.6000000000000001E-2</v>
      </c>
      <c r="M27" s="5">
        <f t="shared" si="31"/>
        <v>5.6000000000000001E-2</v>
      </c>
      <c r="N27" s="5">
        <f t="shared" si="31"/>
        <v>5.6000000000000001E-2</v>
      </c>
      <c r="O27" s="5">
        <f t="shared" si="31"/>
        <v>5.6000000000000001E-2</v>
      </c>
      <c r="P27" s="5">
        <f t="shared" si="31"/>
        <v>5.6000000000000001E-2</v>
      </c>
      <c r="Q27" s="5">
        <f t="shared" si="31"/>
        <v>5.6000000000000001E-2</v>
      </c>
      <c r="R27" s="5">
        <f t="shared" si="31"/>
        <v>5.6000000000000001E-2</v>
      </c>
      <c r="S27" s="5">
        <f t="shared" si="31"/>
        <v>5.6000000000000001E-2</v>
      </c>
      <c r="T27" s="5">
        <f t="shared" si="31"/>
        <v>5.6000000000000001E-2</v>
      </c>
      <c r="U27" s="5">
        <f t="shared" si="31"/>
        <v>5.6000000000000001E-2</v>
      </c>
      <c r="V27" s="5">
        <f t="shared" si="31"/>
        <v>5.6000000000000001E-2</v>
      </c>
      <c r="W27" s="5">
        <f t="shared" si="31"/>
        <v>5.6000000000000001E-2</v>
      </c>
      <c r="X27" s="5">
        <f t="shared" si="31"/>
        <v>5.6000000000000001E-2</v>
      </c>
      <c r="Y27" s="5">
        <f t="shared" si="31"/>
        <v>5.6000000000000001E-2</v>
      </c>
      <c r="Z27" s="5">
        <f t="shared" si="31"/>
        <v>5.6000000000000001E-2</v>
      </c>
      <c r="AA27" s="5">
        <f t="shared" si="31"/>
        <v>5.6000000000000001E-2</v>
      </c>
      <c r="AB27" s="5">
        <f t="shared" si="31"/>
        <v>5.6000000000000001E-2</v>
      </c>
      <c r="AC27" s="5">
        <f t="shared" si="31"/>
        <v>5.6000000000000001E-2</v>
      </c>
      <c r="AD27" s="5">
        <f t="shared" si="31"/>
        <v>5.6000000000000001E-2</v>
      </c>
      <c r="AE27" s="5">
        <f t="shared" si="31"/>
        <v>5.6000000000000001E-2</v>
      </c>
      <c r="AF27" s="5">
        <f t="shared" si="31"/>
        <v>5.6000000000000001E-2</v>
      </c>
      <c r="AG27" s="5">
        <f t="shared" si="31"/>
        <v>5.6000000000000001E-2</v>
      </c>
      <c r="AH27" s="5">
        <f t="shared" si="31"/>
        <v>5.6000000000000001E-2</v>
      </c>
      <c r="AI27" s="5">
        <f t="shared" si="31"/>
        <v>5.6000000000000001E-2</v>
      </c>
      <c r="AJ27" s="5">
        <f t="shared" si="31"/>
        <v>5.6000000000000001E-2</v>
      </c>
      <c r="AK27" s="5">
        <f t="shared" si="31"/>
        <v>5.6000000000000001E-2</v>
      </c>
      <c r="AL27" s="5">
        <f t="shared" si="31"/>
        <v>5.6000000000000001E-2</v>
      </c>
      <c r="AM27" s="5"/>
    </row>
    <row r="28" spans="1:39" ht="17.25" customHeight="1">
      <c r="A28" s="1" t="s">
        <v>60</v>
      </c>
      <c r="B28" s="3">
        <v>598.34655169999996</v>
      </c>
      <c r="C28" s="3">
        <v>598.34655169999996</v>
      </c>
      <c r="D28" s="3">
        <v>598.34655169999996</v>
      </c>
      <c r="E28" s="3">
        <v>598.34655169999996</v>
      </c>
      <c r="F28" s="3">
        <v>598.34655169999996</v>
      </c>
      <c r="G28" s="3">
        <v>598.34655169999996</v>
      </c>
      <c r="H28" s="3">
        <v>598.34655169999996</v>
      </c>
      <c r="I28" s="3">
        <v>598.34655169999996</v>
      </c>
      <c r="J28" s="3">
        <v>598.34655169999996</v>
      </c>
      <c r="K28" s="3">
        <v>598.34655169999996</v>
      </c>
      <c r="L28" s="3">
        <v>598.34655169999996</v>
      </c>
      <c r="M28" s="3">
        <v>598.34655169999996</v>
      </c>
      <c r="N28" s="3">
        <v>598.34655169999996</v>
      </c>
      <c r="O28" s="3">
        <v>598.34655169999996</v>
      </c>
      <c r="P28" s="3">
        <v>598.34655169999996</v>
      </c>
      <c r="Q28" s="3">
        <v>598.34655169999996</v>
      </c>
      <c r="R28" s="3">
        <v>598.34655169999996</v>
      </c>
      <c r="S28" s="3">
        <v>598.34655169999996</v>
      </c>
      <c r="T28" s="3">
        <v>598.34655169999996</v>
      </c>
      <c r="U28" s="3">
        <v>598.34655169999996</v>
      </c>
      <c r="V28" s="3">
        <v>598.34655169999996</v>
      </c>
      <c r="W28" s="3">
        <v>598.34655169999996</v>
      </c>
      <c r="X28" s="3">
        <v>598.34655169999996</v>
      </c>
      <c r="Y28" s="3">
        <v>598.34655169999996</v>
      </c>
      <c r="Z28" s="3">
        <v>598.34655169999996</v>
      </c>
      <c r="AA28" s="3">
        <v>598.34655169999996</v>
      </c>
      <c r="AB28" s="3">
        <v>598.34655169999996</v>
      </c>
      <c r="AC28" s="3">
        <v>598.34655169999996</v>
      </c>
      <c r="AD28" s="3">
        <v>598.34655169999996</v>
      </c>
      <c r="AE28" s="3">
        <v>598.34655169999996</v>
      </c>
      <c r="AF28" s="3">
        <v>598.34655169999996</v>
      </c>
      <c r="AG28" s="3">
        <v>598.34655169999996</v>
      </c>
      <c r="AH28" s="3">
        <v>598.34655169999996</v>
      </c>
      <c r="AI28" s="3">
        <v>598.34655169999996</v>
      </c>
      <c r="AJ28" s="3">
        <v>598.34655169999996</v>
      </c>
      <c r="AK28" s="3">
        <v>598.34655169999996</v>
      </c>
      <c r="AL28" s="3">
        <v>598.34655169999996</v>
      </c>
      <c r="AM28" s="5"/>
    </row>
    <row r="29" spans="1:39" ht="17.25" customHeight="1">
      <c r="A29" s="1" t="s">
        <v>61</v>
      </c>
      <c r="B29" s="3">
        <v>1519.6510000000001</v>
      </c>
      <c r="C29" s="3">
        <v>1519.6510000000001</v>
      </c>
      <c r="D29" s="3">
        <v>1519.6510000000001</v>
      </c>
      <c r="E29" s="3">
        <v>1519.6510000000001</v>
      </c>
      <c r="F29" s="3">
        <v>1519.6510000000001</v>
      </c>
      <c r="G29" s="3">
        <v>1519.6510000000001</v>
      </c>
      <c r="H29" s="3">
        <v>1519.6510000000001</v>
      </c>
      <c r="I29" s="3">
        <v>1519.6510000000001</v>
      </c>
      <c r="J29" s="3">
        <v>1519.6510000000001</v>
      </c>
      <c r="K29" s="3">
        <v>1519.6510000000001</v>
      </c>
      <c r="L29" s="3">
        <v>1519.6510000000001</v>
      </c>
      <c r="M29" s="3">
        <v>1519.6510000000001</v>
      </c>
      <c r="N29" s="3">
        <v>1519.6510000000001</v>
      </c>
      <c r="O29" s="3">
        <v>1519.6510000000001</v>
      </c>
      <c r="P29" s="3">
        <v>1519.6510000000001</v>
      </c>
      <c r="Q29" s="3">
        <v>1519.6510000000001</v>
      </c>
      <c r="R29" s="3">
        <v>1519.6510000000001</v>
      </c>
      <c r="S29" s="3">
        <v>1519.6510000000001</v>
      </c>
      <c r="T29" s="3">
        <v>1519.6510000000001</v>
      </c>
      <c r="U29" s="3">
        <v>1519.6510000000001</v>
      </c>
      <c r="V29" s="3">
        <v>1519.6510000000001</v>
      </c>
      <c r="W29" s="3">
        <v>1519.6510000000001</v>
      </c>
      <c r="X29" s="3">
        <v>1519.6510000000001</v>
      </c>
      <c r="Y29" s="3">
        <v>1519.6510000000001</v>
      </c>
      <c r="Z29" s="3">
        <v>1519.6510000000001</v>
      </c>
      <c r="AA29" s="3">
        <v>1519.6510000000001</v>
      </c>
      <c r="AB29" s="3">
        <v>1519.6510000000001</v>
      </c>
      <c r="AC29" s="3">
        <v>1519.6510000000001</v>
      </c>
      <c r="AD29" s="3">
        <v>1519.6510000000001</v>
      </c>
      <c r="AE29" s="3">
        <v>1519.6510000000001</v>
      </c>
      <c r="AF29" s="3">
        <v>1519.6510000000001</v>
      </c>
      <c r="AG29" s="3">
        <v>1519.6510000000001</v>
      </c>
      <c r="AH29" s="3">
        <v>1519.6510000000001</v>
      </c>
      <c r="AI29" s="3">
        <v>1519.6510000000001</v>
      </c>
      <c r="AJ29" s="3">
        <v>1519.6510000000001</v>
      </c>
      <c r="AK29" s="3">
        <v>1519.6510000000001</v>
      </c>
      <c r="AL29" s="3">
        <v>1519.6510000000001</v>
      </c>
      <c r="AM29" s="5"/>
    </row>
    <row r="30" spans="1:39" ht="17.25" customHeight="1">
      <c r="A30" s="1" t="s">
        <v>62</v>
      </c>
      <c r="B30" s="5">
        <f t="shared" ref="B30:AL30" si="32">34/1000</f>
        <v>3.4000000000000002E-2</v>
      </c>
      <c r="C30" s="5">
        <f t="shared" si="32"/>
        <v>3.4000000000000002E-2</v>
      </c>
      <c r="D30" s="5">
        <f t="shared" si="32"/>
        <v>3.4000000000000002E-2</v>
      </c>
      <c r="E30" s="5">
        <f t="shared" si="32"/>
        <v>3.4000000000000002E-2</v>
      </c>
      <c r="F30" s="5">
        <f t="shared" si="32"/>
        <v>3.4000000000000002E-2</v>
      </c>
      <c r="G30" s="5">
        <f t="shared" si="32"/>
        <v>3.4000000000000002E-2</v>
      </c>
      <c r="H30" s="5">
        <f t="shared" si="32"/>
        <v>3.4000000000000002E-2</v>
      </c>
      <c r="I30" s="5">
        <f t="shared" si="32"/>
        <v>3.4000000000000002E-2</v>
      </c>
      <c r="J30" s="5">
        <f t="shared" si="32"/>
        <v>3.4000000000000002E-2</v>
      </c>
      <c r="K30" s="5">
        <f t="shared" si="32"/>
        <v>3.4000000000000002E-2</v>
      </c>
      <c r="L30" s="5">
        <f t="shared" si="32"/>
        <v>3.4000000000000002E-2</v>
      </c>
      <c r="M30" s="5">
        <f t="shared" si="32"/>
        <v>3.4000000000000002E-2</v>
      </c>
      <c r="N30" s="5">
        <f t="shared" si="32"/>
        <v>3.4000000000000002E-2</v>
      </c>
      <c r="O30" s="5">
        <f t="shared" si="32"/>
        <v>3.4000000000000002E-2</v>
      </c>
      <c r="P30" s="5">
        <f t="shared" si="32"/>
        <v>3.4000000000000002E-2</v>
      </c>
      <c r="Q30" s="5">
        <f t="shared" si="32"/>
        <v>3.4000000000000002E-2</v>
      </c>
      <c r="R30" s="5">
        <f t="shared" si="32"/>
        <v>3.4000000000000002E-2</v>
      </c>
      <c r="S30" s="5">
        <f t="shared" si="32"/>
        <v>3.4000000000000002E-2</v>
      </c>
      <c r="T30" s="5">
        <f t="shared" si="32"/>
        <v>3.4000000000000002E-2</v>
      </c>
      <c r="U30" s="5">
        <f t="shared" si="32"/>
        <v>3.4000000000000002E-2</v>
      </c>
      <c r="V30" s="5">
        <f t="shared" si="32"/>
        <v>3.4000000000000002E-2</v>
      </c>
      <c r="W30" s="5">
        <f t="shared" si="32"/>
        <v>3.4000000000000002E-2</v>
      </c>
      <c r="X30" s="5">
        <f t="shared" si="32"/>
        <v>3.4000000000000002E-2</v>
      </c>
      <c r="Y30" s="5">
        <f t="shared" si="32"/>
        <v>3.4000000000000002E-2</v>
      </c>
      <c r="Z30" s="5">
        <f t="shared" si="32"/>
        <v>3.4000000000000002E-2</v>
      </c>
      <c r="AA30" s="5">
        <f t="shared" si="32"/>
        <v>3.4000000000000002E-2</v>
      </c>
      <c r="AB30" s="5">
        <f t="shared" si="32"/>
        <v>3.4000000000000002E-2</v>
      </c>
      <c r="AC30" s="5">
        <f t="shared" si="32"/>
        <v>3.4000000000000002E-2</v>
      </c>
      <c r="AD30" s="5">
        <f t="shared" si="32"/>
        <v>3.4000000000000002E-2</v>
      </c>
      <c r="AE30" s="5">
        <f t="shared" si="32"/>
        <v>3.4000000000000002E-2</v>
      </c>
      <c r="AF30" s="5">
        <f t="shared" si="32"/>
        <v>3.4000000000000002E-2</v>
      </c>
      <c r="AG30" s="5">
        <f t="shared" si="32"/>
        <v>3.4000000000000002E-2</v>
      </c>
      <c r="AH30" s="5">
        <f t="shared" si="32"/>
        <v>3.4000000000000002E-2</v>
      </c>
      <c r="AI30" s="5">
        <f t="shared" si="32"/>
        <v>3.4000000000000002E-2</v>
      </c>
      <c r="AJ30" s="5">
        <f t="shared" si="32"/>
        <v>3.4000000000000002E-2</v>
      </c>
      <c r="AK30" s="5">
        <f t="shared" si="32"/>
        <v>3.4000000000000002E-2</v>
      </c>
      <c r="AL30" s="5">
        <f t="shared" si="32"/>
        <v>3.4000000000000002E-2</v>
      </c>
      <c r="AM30" s="5"/>
    </row>
    <row r="31" spans="1:39" ht="17.25" customHeight="1">
      <c r="A31" s="1" t="s">
        <v>63</v>
      </c>
      <c r="B31" s="3">
        <v>40.834137929999997</v>
      </c>
      <c r="C31" s="3">
        <v>40.834137929999997</v>
      </c>
      <c r="D31" s="3">
        <v>40.834137929999997</v>
      </c>
      <c r="E31" s="3">
        <v>40.834137929999997</v>
      </c>
      <c r="F31" s="3">
        <v>40.834137929999997</v>
      </c>
      <c r="G31" s="3">
        <v>40.834137929999997</v>
      </c>
      <c r="H31" s="3">
        <v>40.834137929999997</v>
      </c>
      <c r="I31" s="3">
        <v>40.834137929999997</v>
      </c>
      <c r="J31" s="3">
        <v>40.834137929999997</v>
      </c>
      <c r="K31" s="3">
        <v>40.834137929999997</v>
      </c>
      <c r="L31" s="3">
        <v>40.834137929999997</v>
      </c>
      <c r="M31" s="3">
        <v>40.834137929999997</v>
      </c>
      <c r="N31" s="3">
        <v>40.834137929999997</v>
      </c>
      <c r="O31" s="3">
        <v>40.834137929999997</v>
      </c>
      <c r="P31" s="3">
        <v>40.834137929999997</v>
      </c>
      <c r="Q31" s="3">
        <v>40.834137929999997</v>
      </c>
      <c r="R31" s="3">
        <v>40.834137929999997</v>
      </c>
      <c r="S31" s="3">
        <v>40.834137929999997</v>
      </c>
      <c r="T31" s="3">
        <v>40.834137929999997</v>
      </c>
      <c r="U31" s="3">
        <v>40.834137929999997</v>
      </c>
      <c r="V31" s="3">
        <v>40.834137929999997</v>
      </c>
      <c r="W31" s="3">
        <v>40.834137929999997</v>
      </c>
      <c r="X31" s="3">
        <v>40.834137929999997</v>
      </c>
      <c r="Y31" s="3">
        <v>40.834137929999997</v>
      </c>
      <c r="Z31" s="3">
        <v>40.834137929999997</v>
      </c>
      <c r="AA31" s="3">
        <v>40.834137929999997</v>
      </c>
      <c r="AB31" s="3">
        <v>40.834137929999997</v>
      </c>
      <c r="AC31" s="3">
        <v>40.834137929999997</v>
      </c>
      <c r="AD31" s="3">
        <v>40.834137929999997</v>
      </c>
      <c r="AE31" s="3">
        <v>40.834137929999997</v>
      </c>
      <c r="AF31" s="3">
        <v>40.834137929999997</v>
      </c>
      <c r="AG31" s="3">
        <v>40.834137929999997</v>
      </c>
      <c r="AH31" s="3">
        <v>40.834137929999997</v>
      </c>
      <c r="AI31" s="3">
        <v>40.834137929999997</v>
      </c>
      <c r="AJ31" s="3">
        <v>40.834137929999997</v>
      </c>
      <c r="AK31" s="3">
        <v>40.834137929999997</v>
      </c>
      <c r="AL31" s="3">
        <v>40.834137929999997</v>
      </c>
      <c r="AM31" s="5"/>
    </row>
    <row r="32" spans="1:39" ht="17.25" customHeight="1">
      <c r="A32" s="1" t="s">
        <v>64</v>
      </c>
      <c r="B32" s="3">
        <v>2251.64</v>
      </c>
      <c r="C32" s="3">
        <v>2251.64</v>
      </c>
      <c r="D32" s="3">
        <v>2251.64</v>
      </c>
      <c r="E32" s="3">
        <v>2251.64</v>
      </c>
      <c r="F32" s="3">
        <v>2251.64</v>
      </c>
      <c r="G32" s="3">
        <v>2251.64</v>
      </c>
      <c r="H32" s="3">
        <v>2251.64</v>
      </c>
      <c r="I32" s="3">
        <v>2251.64</v>
      </c>
      <c r="J32" s="3">
        <v>2251.64</v>
      </c>
      <c r="K32" s="3">
        <v>2251.64</v>
      </c>
      <c r="L32" s="3">
        <v>2251.64</v>
      </c>
      <c r="M32" s="3">
        <v>2251.64</v>
      </c>
      <c r="N32" s="3">
        <v>2251.64</v>
      </c>
      <c r="O32" s="3">
        <v>2251.64</v>
      </c>
      <c r="P32" s="3">
        <v>2251.64</v>
      </c>
      <c r="Q32" s="3">
        <v>2251.64</v>
      </c>
      <c r="R32" s="3">
        <v>2251.64</v>
      </c>
      <c r="S32" s="3">
        <v>2251.64</v>
      </c>
      <c r="T32" s="3">
        <v>2251.64</v>
      </c>
      <c r="U32" s="3">
        <v>2251.64</v>
      </c>
      <c r="V32" s="3">
        <v>2251.64</v>
      </c>
      <c r="W32" s="3">
        <v>2251.64</v>
      </c>
      <c r="X32" s="3">
        <v>2251.64</v>
      </c>
      <c r="Y32" s="3">
        <v>2251.64</v>
      </c>
      <c r="Z32" s="3">
        <v>2251.64</v>
      </c>
      <c r="AA32" s="3">
        <v>2251.64</v>
      </c>
      <c r="AB32" s="3">
        <v>2251.64</v>
      </c>
      <c r="AC32" s="3">
        <v>2251.64</v>
      </c>
      <c r="AD32" s="3">
        <v>2251.64</v>
      </c>
      <c r="AE32" s="3">
        <v>2251.64</v>
      </c>
      <c r="AF32" s="3">
        <v>2251.64</v>
      </c>
      <c r="AG32" s="3">
        <v>2251.64</v>
      </c>
      <c r="AH32" s="3">
        <v>2251.64</v>
      </c>
      <c r="AI32" s="3">
        <v>2251.64</v>
      </c>
      <c r="AJ32" s="3">
        <v>2251.64</v>
      </c>
      <c r="AK32" s="3">
        <v>2251.64</v>
      </c>
      <c r="AL32" s="3">
        <v>2251.64</v>
      </c>
      <c r="AM32" s="5"/>
    </row>
    <row r="33" spans="1:39" ht="17.25" customHeight="1">
      <c r="A33" s="1" t="s">
        <v>65</v>
      </c>
      <c r="B33" s="5">
        <f t="shared" ref="B33:AL33" si="33">36/1000</f>
        <v>3.5999999999999997E-2</v>
      </c>
      <c r="C33" s="5">
        <f t="shared" si="33"/>
        <v>3.5999999999999997E-2</v>
      </c>
      <c r="D33" s="5">
        <f t="shared" si="33"/>
        <v>3.5999999999999997E-2</v>
      </c>
      <c r="E33" s="5">
        <f t="shared" si="33"/>
        <v>3.5999999999999997E-2</v>
      </c>
      <c r="F33" s="5">
        <f t="shared" si="33"/>
        <v>3.5999999999999997E-2</v>
      </c>
      <c r="G33" s="5">
        <f t="shared" si="33"/>
        <v>3.5999999999999997E-2</v>
      </c>
      <c r="H33" s="5">
        <f t="shared" si="33"/>
        <v>3.5999999999999997E-2</v>
      </c>
      <c r="I33" s="5">
        <f t="shared" si="33"/>
        <v>3.5999999999999997E-2</v>
      </c>
      <c r="J33" s="5">
        <f t="shared" si="33"/>
        <v>3.5999999999999997E-2</v>
      </c>
      <c r="K33" s="5">
        <f t="shared" si="33"/>
        <v>3.5999999999999997E-2</v>
      </c>
      <c r="L33" s="5">
        <f t="shared" si="33"/>
        <v>3.5999999999999997E-2</v>
      </c>
      <c r="M33" s="5">
        <f t="shared" si="33"/>
        <v>3.5999999999999997E-2</v>
      </c>
      <c r="N33" s="5">
        <f t="shared" si="33"/>
        <v>3.5999999999999997E-2</v>
      </c>
      <c r="O33" s="5">
        <f t="shared" si="33"/>
        <v>3.5999999999999997E-2</v>
      </c>
      <c r="P33" s="5">
        <f t="shared" si="33"/>
        <v>3.5999999999999997E-2</v>
      </c>
      <c r="Q33" s="5">
        <f t="shared" si="33"/>
        <v>3.5999999999999997E-2</v>
      </c>
      <c r="R33" s="5">
        <f t="shared" si="33"/>
        <v>3.5999999999999997E-2</v>
      </c>
      <c r="S33" s="5">
        <f t="shared" si="33"/>
        <v>3.5999999999999997E-2</v>
      </c>
      <c r="T33" s="5">
        <f t="shared" si="33"/>
        <v>3.5999999999999997E-2</v>
      </c>
      <c r="U33" s="5">
        <f t="shared" si="33"/>
        <v>3.5999999999999997E-2</v>
      </c>
      <c r="V33" s="5">
        <f t="shared" si="33"/>
        <v>3.5999999999999997E-2</v>
      </c>
      <c r="W33" s="5">
        <f t="shared" si="33"/>
        <v>3.5999999999999997E-2</v>
      </c>
      <c r="X33" s="5">
        <f t="shared" si="33"/>
        <v>3.5999999999999997E-2</v>
      </c>
      <c r="Y33" s="5">
        <f t="shared" si="33"/>
        <v>3.5999999999999997E-2</v>
      </c>
      <c r="Z33" s="5">
        <f t="shared" si="33"/>
        <v>3.5999999999999997E-2</v>
      </c>
      <c r="AA33" s="5">
        <f t="shared" si="33"/>
        <v>3.5999999999999997E-2</v>
      </c>
      <c r="AB33" s="5">
        <f t="shared" si="33"/>
        <v>3.5999999999999997E-2</v>
      </c>
      <c r="AC33" s="5">
        <f t="shared" si="33"/>
        <v>3.5999999999999997E-2</v>
      </c>
      <c r="AD33" s="5">
        <f t="shared" si="33"/>
        <v>3.5999999999999997E-2</v>
      </c>
      <c r="AE33" s="5">
        <f t="shared" si="33"/>
        <v>3.5999999999999997E-2</v>
      </c>
      <c r="AF33" s="5">
        <f t="shared" si="33"/>
        <v>3.5999999999999997E-2</v>
      </c>
      <c r="AG33" s="5">
        <f t="shared" si="33"/>
        <v>3.5999999999999997E-2</v>
      </c>
      <c r="AH33" s="5">
        <f t="shared" si="33"/>
        <v>3.5999999999999997E-2</v>
      </c>
      <c r="AI33" s="5">
        <f t="shared" si="33"/>
        <v>3.5999999999999997E-2</v>
      </c>
      <c r="AJ33" s="5">
        <f t="shared" si="33"/>
        <v>3.5999999999999997E-2</v>
      </c>
      <c r="AK33" s="5">
        <f t="shared" si="33"/>
        <v>3.5999999999999997E-2</v>
      </c>
      <c r="AL33" s="5">
        <f t="shared" si="33"/>
        <v>3.5999999999999997E-2</v>
      </c>
      <c r="AM33" s="5"/>
    </row>
    <row r="34" spans="1:39" ht="17.25" customHeight="1">
      <c r="A34" s="1" t="s">
        <v>66</v>
      </c>
      <c r="B34" s="3">
        <v>14.41103448</v>
      </c>
      <c r="C34" s="3">
        <v>14.41103448</v>
      </c>
      <c r="D34" s="3">
        <v>14.41103448</v>
      </c>
      <c r="E34" s="3">
        <v>14.41103448</v>
      </c>
      <c r="F34" s="3">
        <v>14.41103448</v>
      </c>
      <c r="G34" s="3">
        <v>14.41103448</v>
      </c>
      <c r="H34" s="3">
        <v>14.41103448</v>
      </c>
      <c r="I34" s="3">
        <v>14.41103448</v>
      </c>
      <c r="J34" s="3">
        <v>14.41103448</v>
      </c>
      <c r="K34" s="3">
        <v>14.41103448</v>
      </c>
      <c r="L34" s="3">
        <v>14.41103448</v>
      </c>
      <c r="M34" s="3">
        <v>14.41103448</v>
      </c>
      <c r="N34" s="3">
        <v>14.41103448</v>
      </c>
      <c r="O34" s="3">
        <v>14.41103448</v>
      </c>
      <c r="P34" s="3">
        <v>14.41103448</v>
      </c>
      <c r="Q34" s="5">
        <v>14.41103448</v>
      </c>
      <c r="R34" s="5">
        <v>14.41103448</v>
      </c>
      <c r="S34" s="5">
        <v>14.41103448</v>
      </c>
      <c r="T34" s="5">
        <v>14.41103448</v>
      </c>
      <c r="U34" s="3">
        <v>14.41103448</v>
      </c>
      <c r="V34" s="3">
        <v>14.41103448</v>
      </c>
      <c r="W34" s="3">
        <v>14.41103448</v>
      </c>
      <c r="X34" s="3">
        <v>14.41103448</v>
      </c>
      <c r="Y34" s="3">
        <v>14.41103448</v>
      </c>
      <c r="Z34" s="3">
        <v>14.41103448</v>
      </c>
      <c r="AA34" s="3">
        <v>14.41103448</v>
      </c>
      <c r="AB34" s="3">
        <v>14.41103448</v>
      </c>
      <c r="AC34" s="3">
        <v>14.41103448</v>
      </c>
      <c r="AD34" s="3">
        <v>14.41103448</v>
      </c>
      <c r="AE34" s="3">
        <v>14.41103448</v>
      </c>
      <c r="AF34" s="3">
        <v>14.41103448</v>
      </c>
      <c r="AG34" s="3">
        <v>14.41103448</v>
      </c>
      <c r="AH34" s="3">
        <v>14.41103448</v>
      </c>
      <c r="AI34" s="3">
        <v>14.41103448</v>
      </c>
      <c r="AJ34" s="3">
        <v>14.41103448</v>
      </c>
      <c r="AK34" s="3">
        <v>14.41103448</v>
      </c>
      <c r="AL34" s="3">
        <v>14.41103448</v>
      </c>
      <c r="AM34" s="5"/>
    </row>
    <row r="35" spans="1:39" ht="17.25" customHeight="1">
      <c r="A35" s="1" t="s">
        <v>67</v>
      </c>
      <c r="B35" s="3">
        <v>2032.7280000000001</v>
      </c>
      <c r="C35" s="3">
        <v>2029.5816</v>
      </c>
      <c r="D35" s="3">
        <v>2029.5889999999999</v>
      </c>
      <c r="E35" s="3">
        <v>2029.5889999999999</v>
      </c>
      <c r="F35" s="3">
        <v>2029.5025000000001</v>
      </c>
      <c r="G35" s="3">
        <v>2029.5072600000001</v>
      </c>
      <c r="H35" s="3">
        <v>2029.5070000000001</v>
      </c>
      <c r="I35" s="3">
        <v>2029.43</v>
      </c>
      <c r="J35" s="3">
        <v>2029.442</v>
      </c>
      <c r="K35" s="3">
        <v>2029.442</v>
      </c>
      <c r="L35" s="3">
        <v>2029.5816</v>
      </c>
      <c r="M35" s="3">
        <v>2029.5809999999999</v>
      </c>
      <c r="N35" s="3">
        <v>2029.5809999999999</v>
      </c>
      <c r="O35" s="3">
        <v>2029.5890899999999</v>
      </c>
      <c r="P35" s="3">
        <v>2029.5890899999999</v>
      </c>
      <c r="Q35" s="5">
        <v>2029.5890899999999</v>
      </c>
      <c r="R35" s="5">
        <v>2029.454</v>
      </c>
      <c r="S35" s="5">
        <v>2029.454</v>
      </c>
      <c r="T35" s="5">
        <v>2029.454</v>
      </c>
      <c r="U35" s="3">
        <v>2029.5816</v>
      </c>
      <c r="V35" s="3">
        <v>2029.5890899999999</v>
      </c>
      <c r="W35" s="3">
        <v>2029.5890899999999</v>
      </c>
      <c r="X35" s="3">
        <v>2029.5816</v>
      </c>
      <c r="Y35" s="3">
        <v>2029.5809999999999</v>
      </c>
      <c r="Z35" s="3">
        <v>2029.5809999999999</v>
      </c>
      <c r="AA35" s="3">
        <v>2029.5816</v>
      </c>
      <c r="AB35" s="3">
        <v>2029.5809999999999</v>
      </c>
      <c r="AC35" s="3">
        <v>2029.5809999999999</v>
      </c>
      <c r="AD35" s="3">
        <v>2029.5816</v>
      </c>
      <c r="AE35" s="3">
        <v>2029.5890899999999</v>
      </c>
      <c r="AF35" s="3">
        <v>2029.5890899999999</v>
      </c>
      <c r="AG35" s="3">
        <v>2029.5816</v>
      </c>
      <c r="AH35" s="3">
        <v>2029.5809999999999</v>
      </c>
      <c r="AI35" s="3">
        <v>2029.5809999999999</v>
      </c>
      <c r="AJ35" s="3">
        <v>2029.5816</v>
      </c>
      <c r="AK35" s="3">
        <v>2029.5809999999999</v>
      </c>
      <c r="AL35" s="3">
        <v>2029.5809999999999</v>
      </c>
      <c r="AM35" s="5"/>
    </row>
    <row r="36" spans="1:39" ht="17.25" customHeight="1">
      <c r="A36" s="1" t="s">
        <v>68</v>
      </c>
      <c r="B36" s="5">
        <f>92/1000</f>
        <v>9.1999999999999998E-2</v>
      </c>
      <c r="C36" s="5">
        <f t="shared" ref="C36:D36" si="34">95/1000</f>
        <v>9.5000000000000001E-2</v>
      </c>
      <c r="D36" s="5">
        <f t="shared" si="34"/>
        <v>9.5000000000000001E-2</v>
      </c>
      <c r="E36" s="5">
        <f t="shared" ref="E36:K36" si="35">96/1000</f>
        <v>9.6000000000000002E-2</v>
      </c>
      <c r="F36" s="5">
        <f t="shared" si="35"/>
        <v>9.6000000000000002E-2</v>
      </c>
      <c r="G36" s="5">
        <f t="shared" si="35"/>
        <v>9.6000000000000002E-2</v>
      </c>
      <c r="H36" s="5">
        <f t="shared" si="35"/>
        <v>9.6000000000000002E-2</v>
      </c>
      <c r="I36" s="5">
        <f t="shared" si="35"/>
        <v>9.6000000000000002E-2</v>
      </c>
      <c r="J36" s="5">
        <f t="shared" si="35"/>
        <v>9.6000000000000002E-2</v>
      </c>
      <c r="K36" s="5">
        <f t="shared" si="35"/>
        <v>9.6000000000000002E-2</v>
      </c>
      <c r="L36" s="5">
        <f t="shared" ref="L36:Q36" si="36">95/1000</f>
        <v>9.5000000000000001E-2</v>
      </c>
      <c r="M36" s="3">
        <f t="shared" si="36"/>
        <v>9.5000000000000001E-2</v>
      </c>
      <c r="N36" s="3">
        <f t="shared" si="36"/>
        <v>9.5000000000000001E-2</v>
      </c>
      <c r="O36" s="3">
        <f t="shared" si="36"/>
        <v>9.5000000000000001E-2</v>
      </c>
      <c r="P36" s="3">
        <f t="shared" si="36"/>
        <v>9.5000000000000001E-2</v>
      </c>
      <c r="Q36" s="5">
        <f t="shared" si="36"/>
        <v>9.5000000000000001E-2</v>
      </c>
      <c r="R36" s="5">
        <f t="shared" ref="R36:T36" si="37">96/1000</f>
        <v>9.6000000000000002E-2</v>
      </c>
      <c r="S36" s="5">
        <f t="shared" si="37"/>
        <v>9.6000000000000002E-2</v>
      </c>
      <c r="T36" s="5">
        <f t="shared" si="37"/>
        <v>9.6000000000000002E-2</v>
      </c>
      <c r="U36" s="3">
        <f t="shared" ref="U36:AL36" si="38">95/1000</f>
        <v>9.5000000000000001E-2</v>
      </c>
      <c r="V36" s="5">
        <f t="shared" si="38"/>
        <v>9.5000000000000001E-2</v>
      </c>
      <c r="W36" s="5">
        <f t="shared" si="38"/>
        <v>9.5000000000000001E-2</v>
      </c>
      <c r="X36" s="3">
        <f t="shared" si="38"/>
        <v>9.5000000000000001E-2</v>
      </c>
      <c r="Y36" s="3">
        <f t="shared" si="38"/>
        <v>9.5000000000000001E-2</v>
      </c>
      <c r="Z36" s="3">
        <f t="shared" si="38"/>
        <v>9.5000000000000001E-2</v>
      </c>
      <c r="AA36" s="3">
        <f t="shared" si="38"/>
        <v>9.5000000000000001E-2</v>
      </c>
      <c r="AB36" s="3">
        <f t="shared" si="38"/>
        <v>9.5000000000000001E-2</v>
      </c>
      <c r="AC36" s="3">
        <f t="shared" si="38"/>
        <v>9.5000000000000001E-2</v>
      </c>
      <c r="AD36" s="3">
        <f t="shared" si="38"/>
        <v>9.5000000000000001E-2</v>
      </c>
      <c r="AE36" s="3">
        <f t="shared" si="38"/>
        <v>9.5000000000000001E-2</v>
      </c>
      <c r="AF36" s="3">
        <f t="shared" si="38"/>
        <v>9.5000000000000001E-2</v>
      </c>
      <c r="AG36" s="3">
        <f t="shared" si="38"/>
        <v>9.5000000000000001E-2</v>
      </c>
      <c r="AH36" s="3">
        <f t="shared" si="38"/>
        <v>9.5000000000000001E-2</v>
      </c>
      <c r="AI36" s="3">
        <f t="shared" si="38"/>
        <v>9.5000000000000001E-2</v>
      </c>
      <c r="AJ36" s="3">
        <f t="shared" si="38"/>
        <v>9.5000000000000001E-2</v>
      </c>
      <c r="AK36" s="3">
        <f t="shared" si="38"/>
        <v>9.5000000000000001E-2</v>
      </c>
      <c r="AL36" s="3">
        <f t="shared" si="38"/>
        <v>9.5000000000000001E-2</v>
      </c>
      <c r="AM36" s="5"/>
    </row>
    <row r="37" spans="1:39" ht="17.25" customHeight="1">
      <c r="A37" s="1" t="s">
        <v>69</v>
      </c>
      <c r="B37" s="3">
        <v>15.22</v>
      </c>
      <c r="C37" s="3">
        <v>14.10862069</v>
      </c>
      <c r="D37" s="3">
        <v>14.122068970000001</v>
      </c>
      <c r="E37" s="3">
        <v>14.122068970000001</v>
      </c>
      <c r="F37" s="3">
        <v>14.00517241</v>
      </c>
      <c r="G37" s="3">
        <v>14.01793103</v>
      </c>
      <c r="H37" s="3">
        <v>14.01793103</v>
      </c>
      <c r="I37" s="3">
        <v>13.90206897</v>
      </c>
      <c r="J37" s="3">
        <v>13.91241379</v>
      </c>
      <c r="K37" s="3">
        <v>13.91241379</v>
      </c>
      <c r="L37" s="3">
        <v>14.10896552</v>
      </c>
      <c r="M37" s="3">
        <v>14.12241379</v>
      </c>
      <c r="N37" s="3">
        <v>14.12241379</v>
      </c>
      <c r="O37" s="3">
        <v>14.12241379</v>
      </c>
      <c r="P37" s="3">
        <v>14.12241379</v>
      </c>
      <c r="Q37" s="5">
        <v>14.12241379</v>
      </c>
      <c r="R37" s="5">
        <v>13.921034499999999</v>
      </c>
      <c r="S37" s="5">
        <v>13.921034499999999</v>
      </c>
      <c r="T37" s="5">
        <v>13.921034499999999</v>
      </c>
      <c r="U37" s="3">
        <v>14.10862069</v>
      </c>
      <c r="V37" s="3">
        <v>14.122068970000001</v>
      </c>
      <c r="W37" s="3">
        <v>14.122068970000001</v>
      </c>
      <c r="X37" s="3">
        <v>14.10896552</v>
      </c>
      <c r="Y37" s="3">
        <v>14.12241379</v>
      </c>
      <c r="Z37" s="3">
        <v>14.12241379</v>
      </c>
      <c r="AA37" s="3">
        <v>14.10896552</v>
      </c>
      <c r="AB37" s="3">
        <v>14.12241379</v>
      </c>
      <c r="AC37" s="3">
        <v>14.12241379</v>
      </c>
      <c r="AD37" s="3">
        <v>14.10862069</v>
      </c>
      <c r="AE37" s="3">
        <v>14.122068970000001</v>
      </c>
      <c r="AF37" s="3">
        <v>14.122068970000001</v>
      </c>
      <c r="AG37" s="3">
        <v>14.10896552</v>
      </c>
      <c r="AH37" s="3">
        <v>14.12241379</v>
      </c>
      <c r="AI37" s="3">
        <v>14.12241379</v>
      </c>
      <c r="AJ37" s="3">
        <v>14.10896552</v>
      </c>
      <c r="AK37" s="3">
        <v>14.12241379</v>
      </c>
      <c r="AL37" s="3">
        <v>14.12241379</v>
      </c>
      <c r="AM37" s="5"/>
    </row>
    <row r="38" spans="1:39" ht="17.25" customHeight="1">
      <c r="A38" s="1" t="s">
        <v>70</v>
      </c>
      <c r="B38" s="3">
        <v>1243.81</v>
      </c>
      <c r="C38" s="3">
        <v>1257.0653219999999</v>
      </c>
      <c r="D38" s="3">
        <v>1255.7043000000001</v>
      </c>
      <c r="E38" s="3">
        <v>1271.42037</v>
      </c>
      <c r="F38" s="3">
        <v>1260.2670000000001</v>
      </c>
      <c r="G38" s="3">
        <v>1258.954</v>
      </c>
      <c r="H38" s="3">
        <v>1260.4313</v>
      </c>
      <c r="I38" s="3">
        <v>1261.6969999999999</v>
      </c>
      <c r="J38" s="3">
        <v>1259.173</v>
      </c>
      <c r="K38" s="3">
        <v>1259.576</v>
      </c>
      <c r="L38" s="3">
        <v>1243.81</v>
      </c>
      <c r="M38" s="3">
        <v>1243.81</v>
      </c>
      <c r="N38" s="3">
        <v>1243.81</v>
      </c>
      <c r="O38" s="3">
        <v>1243.81</v>
      </c>
      <c r="P38" s="3">
        <v>1243.81</v>
      </c>
      <c r="Q38" s="3">
        <v>1243.81</v>
      </c>
      <c r="R38" s="3">
        <v>1243.81</v>
      </c>
      <c r="S38" s="3">
        <v>1243.81</v>
      </c>
      <c r="T38" s="3">
        <v>1243.81</v>
      </c>
      <c r="U38" s="3">
        <v>1243.81</v>
      </c>
      <c r="V38" s="3">
        <v>1243.81</v>
      </c>
      <c r="W38" s="3">
        <v>1243.81</v>
      </c>
      <c r="X38" s="3">
        <v>1237.519</v>
      </c>
      <c r="Y38" s="3">
        <v>1237.519</v>
      </c>
      <c r="Z38" s="3">
        <v>1237.519</v>
      </c>
      <c r="AA38" s="3">
        <v>1257.6269199999999</v>
      </c>
      <c r="AB38" s="3">
        <v>1257.6269199999999</v>
      </c>
      <c r="AC38" s="3">
        <v>1257.6269199999999</v>
      </c>
      <c r="AD38" s="3">
        <v>1257.0653219999999</v>
      </c>
      <c r="AE38" s="3">
        <v>1255.7043000000001</v>
      </c>
      <c r="AF38" s="3">
        <v>1271.42037</v>
      </c>
      <c r="AG38" s="3">
        <v>1260.4186</v>
      </c>
      <c r="AH38" s="3">
        <v>1260.4179999999999</v>
      </c>
      <c r="AI38" s="3">
        <v>1260.2670000000001</v>
      </c>
      <c r="AJ38" s="3">
        <v>1262.0676430000001</v>
      </c>
      <c r="AK38" s="3">
        <v>1260.0467000000001</v>
      </c>
      <c r="AL38" s="3">
        <v>1260.04837</v>
      </c>
      <c r="AM38" s="5"/>
    </row>
    <row r="39" spans="1:39" ht="17.25" customHeight="1">
      <c r="A39" s="1" t="s">
        <v>71</v>
      </c>
      <c r="B39" s="5">
        <f>61/1000</f>
        <v>6.0999999999999999E-2</v>
      </c>
      <c r="C39" s="5">
        <f>62/1000</f>
        <v>6.2E-2</v>
      </c>
      <c r="D39" s="3">
        <f t="shared" ref="D39:E39" si="39">61/1000</f>
        <v>6.0999999999999999E-2</v>
      </c>
      <c r="E39" s="3">
        <f t="shared" si="39"/>
        <v>6.0999999999999999E-2</v>
      </c>
      <c r="F39" s="5">
        <f t="shared" ref="F39:K39" si="40">62/1000</f>
        <v>6.2E-2</v>
      </c>
      <c r="G39" s="5">
        <f t="shared" si="40"/>
        <v>6.2E-2</v>
      </c>
      <c r="H39" s="5">
        <f t="shared" si="40"/>
        <v>6.2E-2</v>
      </c>
      <c r="I39" s="5">
        <f t="shared" si="40"/>
        <v>6.2E-2</v>
      </c>
      <c r="J39" s="5">
        <f t="shared" si="40"/>
        <v>6.2E-2</v>
      </c>
      <c r="K39" s="5">
        <f t="shared" si="40"/>
        <v>6.2E-2</v>
      </c>
      <c r="L39" s="3">
        <f t="shared" ref="L39:AC39" si="41">61/1000</f>
        <v>6.0999999999999999E-2</v>
      </c>
      <c r="M39" s="3">
        <f t="shared" si="41"/>
        <v>6.0999999999999999E-2</v>
      </c>
      <c r="N39" s="3">
        <f t="shared" si="41"/>
        <v>6.0999999999999999E-2</v>
      </c>
      <c r="O39" s="3">
        <f t="shared" si="41"/>
        <v>6.0999999999999999E-2</v>
      </c>
      <c r="P39" s="3">
        <f t="shared" si="41"/>
        <v>6.0999999999999999E-2</v>
      </c>
      <c r="Q39" s="3">
        <f t="shared" si="41"/>
        <v>6.0999999999999999E-2</v>
      </c>
      <c r="R39" s="3">
        <f t="shared" si="41"/>
        <v>6.0999999999999999E-2</v>
      </c>
      <c r="S39" s="3">
        <f t="shared" si="41"/>
        <v>6.0999999999999999E-2</v>
      </c>
      <c r="T39" s="3">
        <f t="shared" si="41"/>
        <v>6.0999999999999999E-2</v>
      </c>
      <c r="U39" s="5">
        <f t="shared" si="41"/>
        <v>6.0999999999999999E-2</v>
      </c>
      <c r="V39" s="5">
        <f t="shared" si="41"/>
        <v>6.0999999999999999E-2</v>
      </c>
      <c r="W39" s="5">
        <f t="shared" si="41"/>
        <v>6.0999999999999999E-2</v>
      </c>
      <c r="X39" s="5">
        <f t="shared" si="41"/>
        <v>6.0999999999999999E-2</v>
      </c>
      <c r="Y39" s="5">
        <f t="shared" si="41"/>
        <v>6.0999999999999999E-2</v>
      </c>
      <c r="Z39" s="5">
        <f t="shared" si="41"/>
        <v>6.0999999999999999E-2</v>
      </c>
      <c r="AA39" s="5">
        <f t="shared" si="41"/>
        <v>6.0999999999999999E-2</v>
      </c>
      <c r="AB39" s="5">
        <f t="shared" si="41"/>
        <v>6.0999999999999999E-2</v>
      </c>
      <c r="AC39" s="5">
        <f t="shared" si="41"/>
        <v>6.0999999999999999E-2</v>
      </c>
      <c r="AD39" s="5">
        <f>62/1000</f>
        <v>6.2E-2</v>
      </c>
      <c r="AE39" s="3">
        <f t="shared" ref="AE39:AF39" si="42">61/1000</f>
        <v>6.0999999999999999E-2</v>
      </c>
      <c r="AF39" s="3">
        <f t="shared" si="42"/>
        <v>6.0999999999999999E-2</v>
      </c>
      <c r="AG39" s="5">
        <f t="shared" ref="AG39:AL39" si="43">62/1000</f>
        <v>6.2E-2</v>
      </c>
      <c r="AH39" s="5">
        <f t="shared" si="43"/>
        <v>6.2E-2</v>
      </c>
      <c r="AI39" s="5">
        <f t="shared" si="43"/>
        <v>6.2E-2</v>
      </c>
      <c r="AJ39" s="5">
        <f t="shared" si="43"/>
        <v>6.2E-2</v>
      </c>
      <c r="AK39" s="5">
        <f t="shared" si="43"/>
        <v>6.2E-2</v>
      </c>
      <c r="AL39" s="5">
        <f t="shared" si="43"/>
        <v>6.2E-2</v>
      </c>
      <c r="AM39" s="5"/>
    </row>
    <row r="40" spans="1:39" ht="17.25" customHeight="1">
      <c r="A40" s="1" t="s">
        <v>72</v>
      </c>
      <c r="B40" s="3">
        <v>116.9317241</v>
      </c>
      <c r="C40" s="3">
        <v>149.09103450000001</v>
      </c>
      <c r="D40" s="3">
        <v>137.87344830000001</v>
      </c>
      <c r="E40" s="3">
        <v>142.06068970000001</v>
      </c>
      <c r="F40" s="3">
        <v>168.93896549999999</v>
      </c>
      <c r="G40" s="3">
        <v>154.01379309999999</v>
      </c>
      <c r="H40" s="3">
        <v>160.07413790000001</v>
      </c>
      <c r="I40" s="3">
        <v>169.45241379999999</v>
      </c>
      <c r="J40" s="3">
        <v>154.33137930000001</v>
      </c>
      <c r="K40" s="3">
        <v>161.57</v>
      </c>
      <c r="L40" s="3">
        <v>116.931724</v>
      </c>
      <c r="M40" s="3">
        <v>116.931724</v>
      </c>
      <c r="N40" s="3">
        <v>116.931724</v>
      </c>
      <c r="O40" s="3">
        <v>116.931724</v>
      </c>
      <c r="P40" s="3">
        <v>116.931724</v>
      </c>
      <c r="Q40" s="3">
        <v>116.931724</v>
      </c>
      <c r="R40" s="3">
        <v>116.931724</v>
      </c>
      <c r="S40" s="3">
        <v>116.931724</v>
      </c>
      <c r="T40" s="3">
        <v>116.931724</v>
      </c>
      <c r="U40" s="3">
        <v>116.9317241</v>
      </c>
      <c r="V40" s="3">
        <v>116.9317241</v>
      </c>
      <c r="W40" s="3">
        <v>116.9317241</v>
      </c>
      <c r="X40" s="3">
        <v>128.95758620000001</v>
      </c>
      <c r="Y40" s="3">
        <v>128.95758620000001</v>
      </c>
      <c r="Z40" s="3">
        <v>128.95758620000001</v>
      </c>
      <c r="AA40" s="3">
        <v>129.17241379999999</v>
      </c>
      <c r="AB40" s="3">
        <v>129.17241379999999</v>
      </c>
      <c r="AC40" s="3">
        <v>129.17241379999999</v>
      </c>
      <c r="AD40" s="3">
        <v>149.09103450000001</v>
      </c>
      <c r="AE40" s="3">
        <v>137.87344830000001</v>
      </c>
      <c r="AF40" s="3">
        <v>142.06068970000001</v>
      </c>
      <c r="AG40" s="3">
        <v>176.632069</v>
      </c>
      <c r="AH40" s="3">
        <v>162.982069</v>
      </c>
      <c r="AI40" s="3">
        <v>168.93896549999999</v>
      </c>
      <c r="AJ40" s="3">
        <v>178.23413790000001</v>
      </c>
      <c r="AK40" s="3">
        <v>165.36517240000001</v>
      </c>
      <c r="AL40" s="3">
        <v>170.29137929999999</v>
      </c>
      <c r="AM40" s="5"/>
    </row>
    <row r="41" spans="1:39" ht="17.25" customHeight="1">
      <c r="A41" s="1" t="s">
        <v>73</v>
      </c>
      <c r="B41" s="3">
        <v>1631.7605000000001</v>
      </c>
      <c r="C41" s="3">
        <v>1631.7605000000001</v>
      </c>
      <c r="D41" s="3">
        <v>1631.7605000000001</v>
      </c>
      <c r="E41" s="3">
        <v>1631.7605000000001</v>
      </c>
      <c r="F41" s="3">
        <v>1634.0650000000001</v>
      </c>
      <c r="G41" s="3">
        <v>1634.5422799999999</v>
      </c>
      <c r="H41" s="3">
        <v>1634.5422799999999</v>
      </c>
      <c r="I41" s="3">
        <v>1634.06501</v>
      </c>
      <c r="J41" s="3">
        <v>1634.0650000000001</v>
      </c>
      <c r="K41" s="3">
        <v>1634.06501</v>
      </c>
      <c r="L41" s="3">
        <v>1631.7605000000001</v>
      </c>
      <c r="M41" s="3">
        <v>1631.7605000000001</v>
      </c>
      <c r="N41" s="3">
        <v>1631.7605000000001</v>
      </c>
      <c r="O41" s="3">
        <v>1634.5422799999999</v>
      </c>
      <c r="P41" s="3">
        <v>1634.5422799999999</v>
      </c>
      <c r="Q41" s="3">
        <v>1634.5422799999999</v>
      </c>
      <c r="R41" s="3">
        <v>1634.06501</v>
      </c>
      <c r="S41" s="3">
        <v>1634.0650000000001</v>
      </c>
      <c r="T41" s="3">
        <v>1634.0650000000001</v>
      </c>
      <c r="U41" s="3">
        <v>1631.7605000000001</v>
      </c>
      <c r="V41" s="3">
        <v>1631.7605000000001</v>
      </c>
      <c r="W41" s="3">
        <v>1631.7605000000001</v>
      </c>
      <c r="X41" s="3">
        <v>1622.19</v>
      </c>
      <c r="Y41" s="3">
        <v>1622.8225</v>
      </c>
      <c r="Z41" s="3">
        <v>1622.8225</v>
      </c>
      <c r="AA41" s="3">
        <v>1513.1959999999999</v>
      </c>
      <c r="AB41" s="3">
        <v>1513.1959999999999</v>
      </c>
      <c r="AC41" s="3">
        <v>1498.07</v>
      </c>
      <c r="AD41" s="3">
        <v>1631.7605000000001</v>
      </c>
      <c r="AE41" s="3">
        <v>1631.7605000000001</v>
      </c>
      <c r="AF41" s="3">
        <v>1631.7605000000001</v>
      </c>
      <c r="AG41" s="3">
        <v>1634.5422799999999</v>
      </c>
      <c r="AH41" s="3">
        <v>1634.0650000000001</v>
      </c>
      <c r="AI41" s="3">
        <v>1634.5422799999999</v>
      </c>
      <c r="AJ41" s="3">
        <v>1634.0650000000001</v>
      </c>
      <c r="AK41" s="3">
        <v>1634.0650000000001</v>
      </c>
      <c r="AL41" s="3">
        <v>1634.0650000000001</v>
      </c>
      <c r="AM41" s="5"/>
    </row>
    <row r="42" spans="1:39" ht="17.25" customHeight="1">
      <c r="A42" s="1" t="s">
        <v>74</v>
      </c>
      <c r="B42" s="5">
        <f t="shared" ref="B42:W42" si="44">38/1000</f>
        <v>3.7999999999999999E-2</v>
      </c>
      <c r="C42" s="5">
        <f t="shared" si="44"/>
        <v>3.7999999999999999E-2</v>
      </c>
      <c r="D42" s="5">
        <f t="shared" si="44"/>
        <v>3.7999999999999999E-2</v>
      </c>
      <c r="E42" s="5">
        <f t="shared" si="44"/>
        <v>3.7999999999999999E-2</v>
      </c>
      <c r="F42" s="5">
        <f t="shared" si="44"/>
        <v>3.7999999999999999E-2</v>
      </c>
      <c r="G42" s="5">
        <f t="shared" si="44"/>
        <v>3.7999999999999999E-2</v>
      </c>
      <c r="H42" s="5">
        <f t="shared" si="44"/>
        <v>3.7999999999999999E-2</v>
      </c>
      <c r="I42" s="5">
        <f t="shared" si="44"/>
        <v>3.7999999999999999E-2</v>
      </c>
      <c r="J42" s="5">
        <f t="shared" si="44"/>
        <v>3.7999999999999999E-2</v>
      </c>
      <c r="K42" s="5">
        <f t="shared" si="44"/>
        <v>3.7999999999999999E-2</v>
      </c>
      <c r="L42" s="5">
        <f t="shared" si="44"/>
        <v>3.7999999999999999E-2</v>
      </c>
      <c r="M42" s="5">
        <f t="shared" si="44"/>
        <v>3.7999999999999999E-2</v>
      </c>
      <c r="N42" s="5">
        <f t="shared" si="44"/>
        <v>3.7999999999999999E-2</v>
      </c>
      <c r="O42" s="5">
        <f t="shared" si="44"/>
        <v>3.7999999999999999E-2</v>
      </c>
      <c r="P42" s="5">
        <f t="shared" si="44"/>
        <v>3.7999999999999999E-2</v>
      </c>
      <c r="Q42" s="5">
        <f t="shared" si="44"/>
        <v>3.7999999999999999E-2</v>
      </c>
      <c r="R42" s="5">
        <f t="shared" si="44"/>
        <v>3.7999999999999999E-2</v>
      </c>
      <c r="S42" s="5">
        <f t="shared" si="44"/>
        <v>3.7999999999999999E-2</v>
      </c>
      <c r="T42" s="5">
        <f t="shared" si="44"/>
        <v>3.7999999999999999E-2</v>
      </c>
      <c r="U42" s="5">
        <f t="shared" si="44"/>
        <v>3.7999999999999999E-2</v>
      </c>
      <c r="V42" s="5">
        <f t="shared" si="44"/>
        <v>3.7999999999999999E-2</v>
      </c>
      <c r="W42" s="5">
        <f t="shared" si="44"/>
        <v>3.7999999999999999E-2</v>
      </c>
      <c r="X42" s="5">
        <f t="shared" ref="X42:Z42" si="45">39/1000</f>
        <v>3.9E-2</v>
      </c>
      <c r="Y42" s="5">
        <f t="shared" si="45"/>
        <v>3.9E-2</v>
      </c>
      <c r="Z42" s="5">
        <f t="shared" si="45"/>
        <v>3.9E-2</v>
      </c>
      <c r="AA42" s="5">
        <f t="shared" ref="AA42:AC42" si="46">40/1000</f>
        <v>0.04</v>
      </c>
      <c r="AB42" s="5">
        <f t="shared" si="46"/>
        <v>0.04</v>
      </c>
      <c r="AC42" s="5">
        <f t="shared" si="46"/>
        <v>0.04</v>
      </c>
      <c r="AD42" s="5">
        <f t="shared" ref="AD42:AL42" si="47">38/1000</f>
        <v>3.7999999999999999E-2</v>
      </c>
      <c r="AE42" s="5">
        <f t="shared" si="47"/>
        <v>3.7999999999999999E-2</v>
      </c>
      <c r="AF42" s="5">
        <f t="shared" si="47"/>
        <v>3.7999999999999999E-2</v>
      </c>
      <c r="AG42" s="5">
        <f t="shared" si="47"/>
        <v>3.7999999999999999E-2</v>
      </c>
      <c r="AH42" s="5">
        <f t="shared" si="47"/>
        <v>3.7999999999999999E-2</v>
      </c>
      <c r="AI42" s="5">
        <f t="shared" si="47"/>
        <v>3.7999999999999999E-2</v>
      </c>
      <c r="AJ42" s="5">
        <f t="shared" si="47"/>
        <v>3.7999999999999999E-2</v>
      </c>
      <c r="AK42" s="5">
        <f t="shared" si="47"/>
        <v>3.7999999999999999E-2</v>
      </c>
      <c r="AL42" s="5">
        <f t="shared" si="47"/>
        <v>3.7999999999999999E-2</v>
      </c>
      <c r="AM42" s="5"/>
    </row>
    <row r="43" spans="1:39" ht="17.25" customHeight="1">
      <c r="A43" s="1" t="s">
        <v>75</v>
      </c>
      <c r="B43" s="3">
        <v>26.521034480000001</v>
      </c>
      <c r="C43" s="3">
        <v>26.521034480000001</v>
      </c>
      <c r="D43" s="3">
        <v>26.521034480000001</v>
      </c>
      <c r="E43" s="3">
        <v>26.521034480000001</v>
      </c>
      <c r="F43" s="3">
        <v>26.967241380000001</v>
      </c>
      <c r="G43" s="3">
        <v>26.948965520000002</v>
      </c>
      <c r="H43" s="5">
        <v>26.9489655</v>
      </c>
      <c r="I43" s="3">
        <v>26.9837931</v>
      </c>
      <c r="J43" s="3">
        <v>26.967241380000001</v>
      </c>
      <c r="K43" s="3">
        <v>26.9837931</v>
      </c>
      <c r="L43" s="3">
        <v>26.521034480000001</v>
      </c>
      <c r="M43" s="3">
        <v>26.521034480000001</v>
      </c>
      <c r="N43" s="3">
        <v>26.521034480000001</v>
      </c>
      <c r="O43" s="5">
        <v>26.9489655</v>
      </c>
      <c r="P43" s="5">
        <v>26.9489655</v>
      </c>
      <c r="Q43" s="5">
        <v>26.9489655</v>
      </c>
      <c r="R43" s="3">
        <v>26.9837931</v>
      </c>
      <c r="S43" s="3">
        <v>26.967241380000001</v>
      </c>
      <c r="T43" s="3">
        <v>26.967241380000001</v>
      </c>
      <c r="U43" s="3">
        <v>26.521034480000001</v>
      </c>
      <c r="V43" s="3">
        <v>26.521034480000001</v>
      </c>
      <c r="W43" s="3">
        <v>26.521034480000001</v>
      </c>
      <c r="X43" s="3">
        <v>27.214482759999999</v>
      </c>
      <c r="Y43" s="3">
        <v>27.216551719999998</v>
      </c>
      <c r="Z43" s="3">
        <v>27.216551719999998</v>
      </c>
      <c r="AA43" s="3">
        <v>26.622758619999999</v>
      </c>
      <c r="AB43" s="3">
        <v>26.622758619999999</v>
      </c>
      <c r="AC43" s="3">
        <v>26.576206899999999</v>
      </c>
      <c r="AD43" s="3">
        <v>26.521034480000001</v>
      </c>
      <c r="AE43" s="3">
        <v>26.521034480000001</v>
      </c>
      <c r="AF43" s="3">
        <v>26.521034480000001</v>
      </c>
      <c r="AG43" s="5">
        <v>26.9489655</v>
      </c>
      <c r="AH43" s="3">
        <v>26.93689655</v>
      </c>
      <c r="AI43" s="5">
        <v>26.9489655</v>
      </c>
      <c r="AJ43" s="5">
        <v>26.936896600000001</v>
      </c>
      <c r="AK43" s="3">
        <v>26.93689655</v>
      </c>
      <c r="AL43" s="3">
        <v>26.93689655</v>
      </c>
      <c r="AM43" s="5"/>
    </row>
    <row r="44" spans="1:39" ht="13.5" customHeight="1">
      <c r="A44" s="12"/>
      <c r="B44" s="12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12"/>
      <c r="T44" s="6"/>
      <c r="U44" s="12"/>
      <c r="V44" s="6"/>
      <c r="W44" s="12"/>
      <c r="X44" s="12"/>
      <c r="Y44" s="12"/>
      <c r="Z44" s="12"/>
      <c r="AA44" s="12"/>
      <c r="AB44" s="6"/>
      <c r="AC44" s="12"/>
      <c r="AD44" s="12"/>
      <c r="AE44" s="12"/>
      <c r="AF44" s="12"/>
      <c r="AG44" s="12"/>
      <c r="AH44" s="12"/>
      <c r="AI44" s="12"/>
      <c r="AJ44" s="6"/>
      <c r="AK44" s="6"/>
      <c r="AL44" s="6"/>
      <c r="AM44" s="6"/>
    </row>
    <row r="45" spans="1:39" ht="13.5" customHeight="1">
      <c r="A45" s="12"/>
      <c r="B45" s="12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12"/>
      <c r="T45" s="6"/>
      <c r="U45" s="12"/>
      <c r="V45" s="6"/>
      <c r="W45" s="12"/>
      <c r="X45" s="12"/>
      <c r="Y45" s="12"/>
      <c r="Z45" s="12"/>
      <c r="AA45" s="12"/>
      <c r="AB45" s="6"/>
      <c r="AC45" s="12"/>
      <c r="AD45" s="12"/>
      <c r="AE45" s="12"/>
      <c r="AF45" s="12"/>
      <c r="AG45" s="12"/>
      <c r="AH45" s="12"/>
      <c r="AI45" s="12"/>
      <c r="AJ45" s="6"/>
      <c r="AK45" s="6"/>
      <c r="AL45" s="6"/>
      <c r="AM45" s="6"/>
    </row>
    <row r="46" spans="1:39" ht="13.5" customHeight="1">
      <c r="A46" s="12"/>
      <c r="B46" s="12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12"/>
      <c r="T46" s="6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6"/>
      <c r="AK46" s="6"/>
      <c r="AL46" s="6"/>
      <c r="AM46" s="6"/>
    </row>
    <row r="47" spans="1:39" ht="13.5" customHeight="1">
      <c r="A47" s="12"/>
      <c r="B47" s="12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12"/>
      <c r="T47" s="6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6"/>
      <c r="AK47" s="6"/>
      <c r="AL47" s="6"/>
      <c r="AM47" s="6"/>
    </row>
    <row r="48" spans="1:39" ht="13.5" customHeight="1">
      <c r="A48" s="12"/>
      <c r="B48" s="12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12"/>
      <c r="T48" s="6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6"/>
      <c r="AK48" s="6"/>
      <c r="AL48" s="6"/>
      <c r="AM48" s="6"/>
    </row>
    <row r="49" spans="1:39" ht="13.5" customHeight="1">
      <c r="A49" s="12"/>
      <c r="B49" s="12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6"/>
      <c r="AK49" s="6"/>
      <c r="AL49" s="6"/>
      <c r="AM49" s="6"/>
    </row>
    <row r="50" spans="1:39" ht="13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6"/>
      <c r="AK50" s="6"/>
      <c r="AL50" s="6"/>
      <c r="AM50" s="6"/>
    </row>
    <row r="51" spans="1:39" ht="13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6"/>
      <c r="AK51" s="6"/>
      <c r="AL51" s="6"/>
      <c r="AM51" s="6"/>
    </row>
    <row r="52" spans="1:39" ht="13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6"/>
      <c r="AK52" s="6"/>
      <c r="AL52" s="6"/>
      <c r="AM52" s="6"/>
    </row>
    <row r="53" spans="1:39" ht="13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6"/>
      <c r="AK53" s="6"/>
      <c r="AL53" s="6"/>
      <c r="AM53" s="6"/>
    </row>
    <row r="54" spans="1:39" ht="13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6"/>
      <c r="AK54" s="6"/>
      <c r="AL54" s="6"/>
      <c r="AM54" s="6"/>
    </row>
    <row r="55" spans="1:39" ht="13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6"/>
      <c r="AK55" s="6"/>
      <c r="AL55" s="6"/>
      <c r="AM55" s="6"/>
    </row>
    <row r="56" spans="1:39" ht="13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6"/>
      <c r="AK56" s="6"/>
      <c r="AL56" s="6"/>
      <c r="AM56" s="6"/>
    </row>
    <row r="57" spans="1:39" ht="13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6"/>
      <c r="AK57" s="6"/>
      <c r="AL57" s="6"/>
      <c r="AM57" s="6"/>
    </row>
    <row r="58" spans="1:39" ht="13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6"/>
      <c r="AK58" s="6"/>
      <c r="AL58" s="6"/>
      <c r="AM58" s="6"/>
    </row>
    <row r="59" spans="1:39" ht="13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6"/>
      <c r="AK59" s="6"/>
      <c r="AL59" s="6"/>
      <c r="AM59" s="6"/>
    </row>
    <row r="60" spans="1:39" ht="13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6"/>
      <c r="AK60" s="6"/>
      <c r="AL60" s="6"/>
      <c r="AM60" s="6"/>
    </row>
    <row r="61" spans="1:39" ht="13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6"/>
      <c r="AK61" s="6"/>
      <c r="AL61" s="6"/>
      <c r="AM61" s="6"/>
    </row>
    <row r="62" spans="1:39" ht="13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6"/>
      <c r="AK62" s="6"/>
      <c r="AL62" s="6"/>
      <c r="AM62" s="6"/>
    </row>
    <row r="63" spans="1:39" ht="13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6"/>
      <c r="AK63" s="6"/>
      <c r="AL63" s="6"/>
      <c r="AM63" s="6"/>
    </row>
    <row r="64" spans="1:39" ht="13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6"/>
      <c r="AK64" s="6"/>
      <c r="AL64" s="6"/>
      <c r="AM64" s="6"/>
    </row>
    <row r="65" spans="1:39" ht="13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6"/>
      <c r="AK65" s="6"/>
      <c r="AL65" s="6"/>
      <c r="AM65" s="6"/>
    </row>
    <row r="66" spans="1:39" ht="13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6"/>
      <c r="AK66" s="6"/>
      <c r="AL66" s="6"/>
      <c r="AM66" s="6"/>
    </row>
    <row r="67" spans="1:39" ht="13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6"/>
      <c r="AK67" s="6"/>
      <c r="AL67" s="6"/>
      <c r="AM67" s="6"/>
    </row>
    <row r="68" spans="1:39" ht="13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6"/>
      <c r="AK68" s="6"/>
      <c r="AL68" s="6"/>
      <c r="AM68" s="6"/>
    </row>
    <row r="69" spans="1:39" ht="13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6"/>
      <c r="AK69" s="6"/>
      <c r="AL69" s="6"/>
      <c r="AM69" s="6"/>
    </row>
    <row r="70" spans="1:39" ht="13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6"/>
      <c r="AK70" s="6"/>
      <c r="AL70" s="6"/>
      <c r="AM70" s="6"/>
    </row>
    <row r="71" spans="1:39" ht="13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6"/>
      <c r="AK71" s="6"/>
      <c r="AL71" s="6"/>
      <c r="AM71" s="6"/>
    </row>
    <row r="72" spans="1:39" ht="13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6"/>
      <c r="AK72" s="6"/>
      <c r="AL72" s="6"/>
      <c r="AM72" s="6"/>
    </row>
    <row r="73" spans="1:39" ht="13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6"/>
      <c r="AK73" s="6"/>
      <c r="AL73" s="6"/>
      <c r="AM73" s="6"/>
    </row>
    <row r="74" spans="1:39" ht="13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6"/>
      <c r="AK74" s="6"/>
      <c r="AL74" s="6"/>
      <c r="AM74" s="6"/>
    </row>
    <row r="75" spans="1:39" ht="13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6"/>
      <c r="AK75" s="6"/>
      <c r="AL75" s="6"/>
      <c r="AM75" s="6"/>
    </row>
    <row r="76" spans="1:39" ht="13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6"/>
      <c r="AK76" s="6"/>
      <c r="AL76" s="6"/>
      <c r="AM76" s="6"/>
    </row>
    <row r="77" spans="1:39" ht="13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6"/>
      <c r="AK77" s="6"/>
      <c r="AL77" s="6"/>
      <c r="AM77" s="6"/>
    </row>
    <row r="78" spans="1:39" ht="13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6"/>
      <c r="AK78" s="6"/>
      <c r="AL78" s="6"/>
      <c r="AM78" s="6"/>
    </row>
    <row r="79" spans="1:39" ht="13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6"/>
      <c r="AK79" s="6"/>
      <c r="AL79" s="6"/>
      <c r="AM79" s="6"/>
    </row>
    <row r="80" spans="1:39" ht="13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6"/>
      <c r="AK80" s="6"/>
      <c r="AL80" s="6"/>
      <c r="AM80" s="6"/>
    </row>
    <row r="81" spans="1:39" ht="13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6"/>
      <c r="AK81" s="6"/>
      <c r="AL81" s="6"/>
      <c r="AM81" s="6"/>
    </row>
    <row r="82" spans="1:39" ht="13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6"/>
      <c r="AK82" s="6"/>
      <c r="AL82" s="6"/>
      <c r="AM82" s="6"/>
    </row>
    <row r="83" spans="1:39" ht="13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6"/>
      <c r="AK83" s="6"/>
      <c r="AL83" s="6"/>
      <c r="AM83" s="6"/>
    </row>
    <row r="84" spans="1:39" ht="13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6"/>
      <c r="AK84" s="6"/>
      <c r="AL84" s="6"/>
      <c r="AM84" s="6"/>
    </row>
    <row r="85" spans="1:39" ht="13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6"/>
      <c r="AK85" s="6"/>
      <c r="AL85" s="6"/>
      <c r="AM85" s="6"/>
    </row>
    <row r="86" spans="1:39" ht="13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6"/>
      <c r="AK86" s="6"/>
      <c r="AL86" s="6"/>
      <c r="AM86" s="6"/>
    </row>
    <row r="87" spans="1:39" ht="13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6"/>
      <c r="AK87" s="6"/>
      <c r="AL87" s="6"/>
      <c r="AM87" s="6"/>
    </row>
    <row r="88" spans="1:39" ht="13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6"/>
      <c r="AK88" s="6"/>
      <c r="AL88" s="6"/>
      <c r="AM88" s="6"/>
    </row>
    <row r="89" spans="1:39" ht="13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6"/>
      <c r="AK89" s="6"/>
      <c r="AL89" s="6"/>
      <c r="AM89" s="6"/>
    </row>
    <row r="90" spans="1:39" ht="13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6"/>
      <c r="AK90" s="6"/>
      <c r="AL90" s="6"/>
      <c r="AM90" s="6"/>
    </row>
    <row r="91" spans="1:39" ht="13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6"/>
      <c r="AK91" s="6"/>
      <c r="AL91" s="6"/>
      <c r="AM91" s="6"/>
    </row>
    <row r="92" spans="1:39" ht="13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6"/>
      <c r="AK92" s="6"/>
      <c r="AL92" s="6"/>
      <c r="AM92" s="6"/>
    </row>
    <row r="93" spans="1:39" ht="13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6"/>
      <c r="AK93" s="6"/>
      <c r="AL93" s="6"/>
      <c r="AM93" s="6"/>
    </row>
    <row r="94" spans="1:39" ht="13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6"/>
      <c r="AK94" s="6"/>
      <c r="AL94" s="6"/>
      <c r="AM94" s="6"/>
    </row>
    <row r="95" spans="1:39" ht="13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6"/>
      <c r="AK95" s="6"/>
      <c r="AL95" s="6"/>
      <c r="AM95" s="6"/>
    </row>
    <row r="96" spans="1:39" ht="13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6"/>
      <c r="AK96" s="6"/>
      <c r="AL96" s="6"/>
      <c r="AM96" s="6"/>
    </row>
    <row r="97" spans="1:39" ht="13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6"/>
      <c r="AK97" s="6"/>
      <c r="AL97" s="6"/>
      <c r="AM97" s="6"/>
    </row>
    <row r="98" spans="1:39" ht="13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6"/>
      <c r="AK98" s="6"/>
      <c r="AL98" s="6"/>
      <c r="AM98" s="6"/>
    </row>
    <row r="99" spans="1:39" ht="13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6"/>
      <c r="AK99" s="6"/>
      <c r="AL99" s="6"/>
      <c r="AM99" s="6"/>
    </row>
    <row r="100" spans="1:39" ht="13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6"/>
      <c r="AK100" s="6"/>
      <c r="AL100" s="6"/>
      <c r="AM100" s="6"/>
    </row>
    <row r="101" spans="1:39" ht="13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6"/>
      <c r="AK101" s="6"/>
      <c r="AL101" s="6"/>
      <c r="AM101" s="6"/>
    </row>
    <row r="102" spans="1:39" ht="13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6"/>
      <c r="AK102" s="6"/>
      <c r="AL102" s="6"/>
      <c r="AM102" s="6"/>
    </row>
    <row r="103" spans="1:39" ht="13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6"/>
      <c r="AK103" s="6"/>
      <c r="AL103" s="6"/>
      <c r="AM103" s="6"/>
    </row>
    <row r="104" spans="1:39" ht="13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6"/>
      <c r="AK104" s="6"/>
      <c r="AL104" s="6"/>
      <c r="AM104" s="6"/>
    </row>
    <row r="105" spans="1:39" ht="13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6"/>
      <c r="AK105" s="6"/>
      <c r="AL105" s="6"/>
      <c r="AM105" s="6"/>
    </row>
    <row r="106" spans="1:39" ht="13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6"/>
      <c r="AK106" s="6"/>
      <c r="AL106" s="6"/>
      <c r="AM106" s="6"/>
    </row>
    <row r="107" spans="1:39" ht="13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6"/>
      <c r="AK107" s="6"/>
      <c r="AL107" s="6"/>
      <c r="AM107" s="6"/>
    </row>
    <row r="108" spans="1:39" ht="13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6"/>
      <c r="AK108" s="6"/>
      <c r="AL108" s="6"/>
      <c r="AM108" s="6"/>
    </row>
    <row r="109" spans="1:39" ht="13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6"/>
      <c r="AK109" s="6"/>
      <c r="AL109" s="6"/>
      <c r="AM109" s="6"/>
    </row>
    <row r="110" spans="1:39" ht="13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6"/>
      <c r="AK110" s="6"/>
      <c r="AL110" s="6"/>
      <c r="AM110" s="6"/>
    </row>
    <row r="111" spans="1:39" ht="13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6"/>
      <c r="AK111" s="6"/>
      <c r="AL111" s="6"/>
      <c r="AM111" s="6"/>
    </row>
    <row r="112" spans="1:39" ht="13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6"/>
      <c r="AK112" s="6"/>
      <c r="AL112" s="6"/>
      <c r="AM112" s="6"/>
    </row>
    <row r="113" spans="1:39" ht="13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6"/>
      <c r="AK113" s="6"/>
      <c r="AL113" s="6"/>
      <c r="AM113" s="6"/>
    </row>
    <row r="114" spans="1:39" ht="13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6"/>
      <c r="AK114" s="6"/>
      <c r="AL114" s="6"/>
      <c r="AM114" s="6"/>
    </row>
    <row r="115" spans="1:39" ht="13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6"/>
      <c r="AK115" s="6"/>
      <c r="AL115" s="6"/>
      <c r="AM115" s="6"/>
    </row>
    <row r="116" spans="1:39" ht="13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6"/>
      <c r="AK116" s="6"/>
      <c r="AL116" s="6"/>
      <c r="AM116" s="6"/>
    </row>
    <row r="117" spans="1:39" ht="13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6"/>
      <c r="AK117" s="6"/>
      <c r="AL117" s="6"/>
      <c r="AM117" s="6"/>
    </row>
    <row r="118" spans="1:39" ht="13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6"/>
      <c r="AK118" s="6"/>
      <c r="AL118" s="6"/>
      <c r="AM118" s="6"/>
    </row>
    <row r="119" spans="1:39" ht="13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6"/>
      <c r="AK119" s="6"/>
      <c r="AL119" s="6"/>
      <c r="AM119" s="6"/>
    </row>
    <row r="120" spans="1:39" ht="13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6"/>
      <c r="AK120" s="6"/>
      <c r="AL120" s="6"/>
      <c r="AM120" s="6"/>
    </row>
    <row r="121" spans="1:39" ht="13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6"/>
      <c r="AK121" s="6"/>
      <c r="AL121" s="6"/>
      <c r="AM121" s="6"/>
    </row>
    <row r="122" spans="1:39" ht="13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6"/>
      <c r="AK122" s="6"/>
      <c r="AL122" s="6"/>
      <c r="AM122" s="6"/>
    </row>
    <row r="123" spans="1:39" ht="13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6"/>
      <c r="AK123" s="6"/>
      <c r="AL123" s="6"/>
      <c r="AM123" s="6"/>
    </row>
    <row r="124" spans="1:39" ht="13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6"/>
      <c r="AK124" s="6"/>
      <c r="AL124" s="6"/>
      <c r="AM124" s="6"/>
    </row>
    <row r="125" spans="1:39" ht="13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6"/>
      <c r="AK125" s="6"/>
      <c r="AL125" s="6"/>
      <c r="AM125" s="6"/>
    </row>
    <row r="126" spans="1:39" ht="13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6"/>
      <c r="AK126" s="6"/>
      <c r="AL126" s="6"/>
      <c r="AM126" s="6"/>
    </row>
    <row r="127" spans="1:39" ht="13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6"/>
      <c r="AK127" s="6"/>
      <c r="AL127" s="6"/>
      <c r="AM127" s="6"/>
    </row>
    <row r="128" spans="1:39" ht="13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6"/>
      <c r="AK128" s="6"/>
      <c r="AL128" s="6"/>
      <c r="AM128" s="6"/>
    </row>
    <row r="129" spans="1:39" ht="13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6"/>
      <c r="AK129" s="6"/>
      <c r="AL129" s="6"/>
      <c r="AM129" s="6"/>
    </row>
    <row r="130" spans="1:39" ht="13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6"/>
      <c r="AK130" s="6"/>
      <c r="AL130" s="6"/>
      <c r="AM130" s="6"/>
    </row>
    <row r="131" spans="1:39" ht="13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6"/>
      <c r="AK131" s="6"/>
      <c r="AL131" s="6"/>
      <c r="AM131" s="6"/>
    </row>
    <row r="132" spans="1:39" ht="13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6"/>
      <c r="AK132" s="6"/>
      <c r="AL132" s="6"/>
      <c r="AM132" s="6"/>
    </row>
    <row r="133" spans="1:39" ht="13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6"/>
      <c r="AK133" s="6"/>
      <c r="AL133" s="6"/>
      <c r="AM133" s="6"/>
    </row>
    <row r="134" spans="1:39" ht="13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6"/>
      <c r="AK134" s="6"/>
      <c r="AL134" s="6"/>
      <c r="AM134" s="6"/>
    </row>
    <row r="135" spans="1:39" ht="13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6"/>
      <c r="AK135" s="6"/>
      <c r="AL135" s="6"/>
      <c r="AM135" s="6"/>
    </row>
    <row r="136" spans="1:39" ht="13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6"/>
      <c r="AK136" s="6"/>
      <c r="AL136" s="6"/>
      <c r="AM136" s="6"/>
    </row>
    <row r="137" spans="1:39" ht="13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6"/>
      <c r="AK137" s="6"/>
      <c r="AL137" s="6"/>
      <c r="AM137" s="6"/>
    </row>
    <row r="138" spans="1:39" ht="13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6"/>
      <c r="AK138" s="6"/>
      <c r="AL138" s="6"/>
      <c r="AM138" s="6"/>
    </row>
    <row r="139" spans="1:39" ht="13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6"/>
      <c r="AK139" s="6"/>
      <c r="AL139" s="6"/>
      <c r="AM139" s="6"/>
    </row>
    <row r="140" spans="1:39" ht="13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6"/>
      <c r="AK140" s="6"/>
      <c r="AL140" s="6"/>
      <c r="AM140" s="6"/>
    </row>
    <row r="141" spans="1:39" ht="13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6"/>
      <c r="AK141" s="6"/>
      <c r="AL141" s="6"/>
      <c r="AM141" s="6"/>
    </row>
    <row r="142" spans="1:39" ht="13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6"/>
      <c r="AK142" s="6"/>
      <c r="AL142" s="6"/>
      <c r="AM142" s="6"/>
    </row>
    <row r="143" spans="1:39" ht="13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6"/>
      <c r="AK143" s="6"/>
      <c r="AL143" s="6"/>
      <c r="AM143" s="6"/>
    </row>
    <row r="144" spans="1:39" ht="13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6"/>
      <c r="AK144" s="6"/>
      <c r="AL144" s="6"/>
      <c r="AM144" s="6"/>
    </row>
    <row r="145" spans="1:39" ht="13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6"/>
      <c r="AK145" s="6"/>
      <c r="AL145" s="6"/>
      <c r="AM145" s="6"/>
    </row>
    <row r="146" spans="1:39" ht="13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6"/>
      <c r="AK146" s="6"/>
      <c r="AL146" s="6"/>
      <c r="AM146" s="6"/>
    </row>
    <row r="147" spans="1:39" ht="13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6"/>
      <c r="AK147" s="6"/>
      <c r="AL147" s="6"/>
      <c r="AM147" s="6"/>
    </row>
    <row r="148" spans="1:39" ht="13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6"/>
      <c r="AK148" s="6"/>
      <c r="AL148" s="6"/>
      <c r="AM148" s="6"/>
    </row>
    <row r="149" spans="1:39" ht="13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6"/>
      <c r="AK149" s="6"/>
      <c r="AL149" s="6"/>
      <c r="AM149" s="6"/>
    </row>
    <row r="150" spans="1:39" ht="13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6"/>
      <c r="AK150" s="6"/>
      <c r="AL150" s="6"/>
      <c r="AM150" s="6"/>
    </row>
    <row r="151" spans="1:39" ht="13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6"/>
      <c r="AK151" s="6"/>
      <c r="AL151" s="6"/>
      <c r="AM151" s="6"/>
    </row>
    <row r="152" spans="1:39" ht="13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6"/>
      <c r="AK152" s="6"/>
      <c r="AL152" s="6"/>
      <c r="AM152" s="6"/>
    </row>
    <row r="153" spans="1:39" ht="13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6"/>
      <c r="AK153" s="6"/>
      <c r="AL153" s="6"/>
      <c r="AM153" s="6"/>
    </row>
    <row r="154" spans="1:39" ht="13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6"/>
      <c r="AK154" s="6"/>
      <c r="AL154" s="6"/>
      <c r="AM154" s="6"/>
    </row>
    <row r="155" spans="1:39" ht="13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6"/>
      <c r="AK155" s="6"/>
      <c r="AL155" s="6"/>
      <c r="AM155" s="6"/>
    </row>
    <row r="156" spans="1:39" ht="13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6"/>
      <c r="AK156" s="6"/>
      <c r="AL156" s="6"/>
      <c r="AM156" s="6"/>
    </row>
    <row r="157" spans="1:39" ht="13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6"/>
      <c r="AK157" s="6"/>
      <c r="AL157" s="6"/>
      <c r="AM157" s="6"/>
    </row>
    <row r="158" spans="1:39" ht="13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6"/>
      <c r="AK158" s="6"/>
      <c r="AL158" s="6"/>
      <c r="AM158" s="6"/>
    </row>
    <row r="159" spans="1:39" ht="13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6"/>
      <c r="AK159" s="6"/>
      <c r="AL159" s="6"/>
      <c r="AM159" s="6"/>
    </row>
    <row r="160" spans="1:39" ht="13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6"/>
      <c r="AK160" s="6"/>
      <c r="AL160" s="6"/>
      <c r="AM160" s="6"/>
    </row>
    <row r="161" spans="1:39" ht="13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6"/>
      <c r="AK161" s="6"/>
      <c r="AL161" s="6"/>
      <c r="AM161" s="6"/>
    </row>
    <row r="162" spans="1:39" ht="13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6"/>
      <c r="AK162" s="6"/>
      <c r="AL162" s="6"/>
      <c r="AM162" s="6"/>
    </row>
    <row r="163" spans="1:39" ht="13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6"/>
      <c r="AK163" s="6"/>
      <c r="AL163" s="6"/>
      <c r="AM163" s="6"/>
    </row>
    <row r="164" spans="1:39" ht="13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6"/>
      <c r="AK164" s="6"/>
      <c r="AL164" s="6"/>
      <c r="AM164" s="6"/>
    </row>
    <row r="165" spans="1:39" ht="13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6"/>
      <c r="AK165" s="6"/>
      <c r="AL165" s="6"/>
      <c r="AM165" s="6"/>
    </row>
    <row r="166" spans="1:39" ht="13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6"/>
      <c r="AK166" s="6"/>
      <c r="AL166" s="6"/>
      <c r="AM166" s="6"/>
    </row>
    <row r="167" spans="1:39" ht="13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6"/>
      <c r="AK167" s="6"/>
      <c r="AL167" s="6"/>
      <c r="AM167" s="6"/>
    </row>
    <row r="168" spans="1:39" ht="13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6"/>
      <c r="AK168" s="6"/>
      <c r="AL168" s="6"/>
      <c r="AM168" s="6"/>
    </row>
    <row r="169" spans="1:39" ht="13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6"/>
      <c r="AK169" s="6"/>
      <c r="AL169" s="6"/>
      <c r="AM169" s="6"/>
    </row>
    <row r="170" spans="1:39" ht="13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6"/>
      <c r="AK170" s="6"/>
      <c r="AL170" s="6"/>
      <c r="AM170" s="6"/>
    </row>
    <row r="171" spans="1:39" ht="13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6"/>
      <c r="AK171" s="6"/>
      <c r="AL171" s="6"/>
      <c r="AM171" s="6"/>
    </row>
    <row r="172" spans="1:39" ht="13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6"/>
      <c r="AK172" s="6"/>
      <c r="AL172" s="6"/>
      <c r="AM172" s="6"/>
    </row>
    <row r="173" spans="1:39" ht="13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6"/>
      <c r="AK173" s="6"/>
      <c r="AL173" s="6"/>
      <c r="AM173" s="6"/>
    </row>
    <row r="174" spans="1:39" ht="13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6"/>
      <c r="AK174" s="6"/>
      <c r="AL174" s="6"/>
      <c r="AM174" s="6"/>
    </row>
    <row r="175" spans="1:39" ht="13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6"/>
      <c r="AK175" s="6"/>
      <c r="AL175" s="6"/>
      <c r="AM175" s="6"/>
    </row>
    <row r="176" spans="1:39" ht="13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6"/>
      <c r="AK176" s="6"/>
      <c r="AL176" s="6"/>
      <c r="AM176" s="6"/>
    </row>
    <row r="177" spans="1:39" ht="13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6"/>
      <c r="AK177" s="6"/>
      <c r="AL177" s="6"/>
      <c r="AM177" s="6"/>
    </row>
    <row r="178" spans="1:39" ht="13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6"/>
      <c r="AK178" s="6"/>
      <c r="AL178" s="6"/>
      <c r="AM178" s="6"/>
    </row>
    <row r="179" spans="1:39" ht="13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6"/>
      <c r="AK179" s="6"/>
      <c r="AL179" s="6"/>
      <c r="AM179" s="6"/>
    </row>
    <row r="180" spans="1:39" ht="13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6"/>
      <c r="AK180" s="6"/>
      <c r="AL180" s="6"/>
      <c r="AM180" s="6"/>
    </row>
    <row r="181" spans="1:39" ht="13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6"/>
      <c r="AK181" s="6"/>
      <c r="AL181" s="6"/>
      <c r="AM181" s="6"/>
    </row>
    <row r="182" spans="1:39" ht="13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6"/>
      <c r="AK182" s="6"/>
      <c r="AL182" s="6"/>
      <c r="AM182" s="6"/>
    </row>
    <row r="183" spans="1:39" ht="13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6"/>
      <c r="AK183" s="6"/>
      <c r="AL183" s="6"/>
      <c r="AM183" s="6"/>
    </row>
    <row r="184" spans="1:39" ht="13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6"/>
      <c r="AK184" s="6"/>
      <c r="AL184" s="6"/>
      <c r="AM184" s="6"/>
    </row>
    <row r="185" spans="1:39" ht="13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6"/>
      <c r="AK185" s="6"/>
      <c r="AL185" s="6"/>
      <c r="AM185" s="6"/>
    </row>
    <row r="186" spans="1:39" ht="13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6"/>
      <c r="AK186" s="6"/>
      <c r="AL186" s="6"/>
      <c r="AM186" s="6"/>
    </row>
    <row r="187" spans="1:39" ht="13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6"/>
      <c r="AK187" s="6"/>
      <c r="AL187" s="6"/>
      <c r="AM187" s="6"/>
    </row>
    <row r="188" spans="1:39" ht="13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6"/>
      <c r="AK188" s="6"/>
      <c r="AL188" s="6"/>
      <c r="AM188" s="6"/>
    </row>
    <row r="189" spans="1:39" ht="13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6"/>
      <c r="AK189" s="6"/>
      <c r="AL189" s="6"/>
      <c r="AM189" s="6"/>
    </row>
    <row r="190" spans="1:39" ht="13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6"/>
      <c r="AK190" s="6"/>
      <c r="AL190" s="6"/>
      <c r="AM190" s="6"/>
    </row>
    <row r="191" spans="1:39" ht="13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6"/>
      <c r="AK191" s="6"/>
      <c r="AL191" s="6"/>
      <c r="AM191" s="6"/>
    </row>
    <row r="192" spans="1:39" ht="13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6"/>
      <c r="AK192" s="6"/>
      <c r="AL192" s="6"/>
      <c r="AM192" s="6"/>
    </row>
    <row r="193" spans="1:39" ht="13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6"/>
      <c r="AK193" s="6"/>
      <c r="AL193" s="6"/>
      <c r="AM193" s="6"/>
    </row>
    <row r="194" spans="1:39" ht="13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6"/>
      <c r="AK194" s="6"/>
      <c r="AL194" s="6"/>
      <c r="AM194" s="6"/>
    </row>
    <row r="195" spans="1:39" ht="13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6"/>
      <c r="AK195" s="6"/>
      <c r="AL195" s="6"/>
      <c r="AM195" s="6"/>
    </row>
    <row r="196" spans="1:39" ht="13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6"/>
      <c r="AK196" s="6"/>
      <c r="AL196" s="6"/>
      <c r="AM196" s="6"/>
    </row>
    <row r="197" spans="1:39" ht="13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6"/>
      <c r="AK197" s="6"/>
      <c r="AL197" s="6"/>
      <c r="AM197" s="6"/>
    </row>
    <row r="198" spans="1:39" ht="13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6"/>
      <c r="AK198" s="6"/>
      <c r="AL198" s="6"/>
      <c r="AM198" s="6"/>
    </row>
    <row r="199" spans="1:39" ht="13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6"/>
      <c r="AK199" s="6"/>
      <c r="AL199" s="6"/>
      <c r="AM199" s="6"/>
    </row>
    <row r="200" spans="1:39" ht="13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6"/>
      <c r="AK200" s="6"/>
      <c r="AL200" s="6"/>
      <c r="AM200" s="6"/>
    </row>
    <row r="201" spans="1:39" ht="13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6"/>
      <c r="AK201" s="6"/>
      <c r="AL201" s="6"/>
      <c r="AM201" s="6"/>
    </row>
    <row r="202" spans="1:39" ht="13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6"/>
      <c r="AK202" s="6"/>
      <c r="AL202" s="6"/>
      <c r="AM202" s="6"/>
    </row>
    <row r="203" spans="1:39" ht="13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6"/>
      <c r="AK203" s="6"/>
      <c r="AL203" s="6"/>
      <c r="AM203" s="6"/>
    </row>
    <row r="204" spans="1:39" ht="13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6"/>
      <c r="AK204" s="6"/>
      <c r="AL204" s="6"/>
      <c r="AM204" s="6"/>
    </row>
    <row r="205" spans="1:39" ht="13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6"/>
      <c r="AK205" s="6"/>
      <c r="AL205" s="6"/>
      <c r="AM205" s="6"/>
    </row>
    <row r="206" spans="1:39" ht="13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6"/>
      <c r="AK206" s="6"/>
      <c r="AL206" s="6"/>
      <c r="AM206" s="6"/>
    </row>
    <row r="207" spans="1:39" ht="13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6"/>
      <c r="AK207" s="6"/>
      <c r="AL207" s="6"/>
      <c r="AM207" s="6"/>
    </row>
    <row r="208" spans="1:39" ht="13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6"/>
      <c r="AK208" s="6"/>
      <c r="AL208" s="6"/>
      <c r="AM208" s="6"/>
    </row>
    <row r="209" spans="1:39" ht="13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6"/>
      <c r="AK209" s="6"/>
      <c r="AL209" s="6"/>
      <c r="AM209" s="6"/>
    </row>
    <row r="210" spans="1:39" ht="13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6"/>
      <c r="AK210" s="6"/>
      <c r="AL210" s="6"/>
      <c r="AM210" s="6"/>
    </row>
    <row r="211" spans="1:39" ht="13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6"/>
      <c r="AK211" s="6"/>
      <c r="AL211" s="6"/>
      <c r="AM211" s="6"/>
    </row>
    <row r="212" spans="1:39" ht="13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6"/>
      <c r="AK212" s="6"/>
      <c r="AL212" s="6"/>
      <c r="AM212" s="6"/>
    </row>
    <row r="213" spans="1:39" ht="13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6"/>
      <c r="AK213" s="6"/>
      <c r="AL213" s="6"/>
      <c r="AM213" s="6"/>
    </row>
    <row r="214" spans="1:39" ht="13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6"/>
      <c r="AK214" s="6"/>
      <c r="AL214" s="6"/>
      <c r="AM214" s="6"/>
    </row>
    <row r="215" spans="1:39" ht="13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6"/>
      <c r="AK215" s="6"/>
      <c r="AL215" s="6"/>
      <c r="AM215" s="6"/>
    </row>
    <row r="216" spans="1:39" ht="13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6"/>
      <c r="AK216" s="6"/>
      <c r="AL216" s="6"/>
      <c r="AM216" s="6"/>
    </row>
    <row r="217" spans="1:39" ht="13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6"/>
      <c r="AK217" s="6"/>
      <c r="AL217" s="6"/>
      <c r="AM217" s="6"/>
    </row>
    <row r="218" spans="1:39" ht="13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6"/>
      <c r="AK218" s="6"/>
      <c r="AL218" s="6"/>
      <c r="AM218" s="6"/>
    </row>
    <row r="219" spans="1:39" ht="13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6"/>
      <c r="AK219" s="6"/>
      <c r="AL219" s="6"/>
      <c r="AM219" s="6"/>
    </row>
    <row r="220" spans="1:39" ht="13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6"/>
      <c r="AK220" s="6"/>
      <c r="AL220" s="6"/>
      <c r="AM220" s="6"/>
    </row>
    <row r="221" spans="1:39" ht="13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6"/>
      <c r="AK221" s="6"/>
      <c r="AL221" s="6"/>
      <c r="AM221" s="6"/>
    </row>
    <row r="222" spans="1:39" ht="13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6"/>
      <c r="AK222" s="6"/>
      <c r="AL222" s="6"/>
      <c r="AM222" s="6"/>
    </row>
    <row r="223" spans="1:39" ht="13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6"/>
      <c r="AK223" s="6"/>
      <c r="AL223" s="6"/>
      <c r="AM223" s="6"/>
    </row>
    <row r="224" spans="1:39" ht="13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6"/>
      <c r="AK224" s="6"/>
      <c r="AL224" s="6"/>
      <c r="AM224" s="6"/>
    </row>
    <row r="225" spans="1:39" ht="13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6"/>
      <c r="AK225" s="6"/>
      <c r="AL225" s="6"/>
      <c r="AM225" s="6"/>
    </row>
    <row r="226" spans="1:39" ht="13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6"/>
      <c r="AK226" s="6"/>
      <c r="AL226" s="6"/>
      <c r="AM226" s="6"/>
    </row>
    <row r="227" spans="1:39" ht="13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6"/>
      <c r="AK227" s="6"/>
      <c r="AL227" s="6"/>
      <c r="AM227" s="6"/>
    </row>
    <row r="228" spans="1:39" ht="13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6"/>
      <c r="AK228" s="6"/>
      <c r="AL228" s="6"/>
      <c r="AM228" s="6"/>
    </row>
    <row r="229" spans="1:39" ht="13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6"/>
      <c r="AK229" s="6"/>
      <c r="AL229" s="6"/>
      <c r="AM229" s="6"/>
    </row>
    <row r="230" spans="1:39" ht="13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6"/>
      <c r="AK230" s="6"/>
      <c r="AL230" s="6"/>
      <c r="AM230" s="6"/>
    </row>
    <row r="231" spans="1:39" ht="13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6"/>
      <c r="AK231" s="6"/>
      <c r="AL231" s="6"/>
      <c r="AM231" s="6"/>
    </row>
    <row r="232" spans="1:39" ht="13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6"/>
      <c r="AK232" s="6"/>
      <c r="AL232" s="6"/>
      <c r="AM232" s="6"/>
    </row>
    <row r="233" spans="1:39" ht="13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6"/>
      <c r="AK233" s="6"/>
      <c r="AL233" s="6"/>
      <c r="AM233" s="6"/>
    </row>
    <row r="234" spans="1:39" ht="13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6"/>
      <c r="AK234" s="6"/>
      <c r="AL234" s="6"/>
      <c r="AM234" s="6"/>
    </row>
    <row r="235" spans="1:39" ht="13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6"/>
      <c r="AK235" s="6"/>
      <c r="AL235" s="6"/>
      <c r="AM235" s="6"/>
    </row>
    <row r="236" spans="1:39" ht="13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6"/>
      <c r="AK236" s="6"/>
      <c r="AL236" s="6"/>
      <c r="AM236" s="6"/>
    </row>
    <row r="237" spans="1:39" ht="13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6"/>
      <c r="AK237" s="6"/>
      <c r="AL237" s="6"/>
      <c r="AM237" s="6"/>
    </row>
    <row r="238" spans="1:39" ht="13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6"/>
      <c r="AK238" s="6"/>
      <c r="AL238" s="6"/>
      <c r="AM238" s="6"/>
    </row>
    <row r="239" spans="1:39" ht="13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6"/>
      <c r="AK239" s="6"/>
      <c r="AL239" s="6"/>
      <c r="AM239" s="6"/>
    </row>
    <row r="240" spans="1:39" ht="13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6"/>
      <c r="AK240" s="6"/>
      <c r="AL240" s="6"/>
      <c r="AM240" s="6"/>
    </row>
    <row r="241" spans="1:39" ht="13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6"/>
      <c r="AK241" s="6"/>
      <c r="AL241" s="6"/>
      <c r="AM241" s="6"/>
    </row>
    <row r="242" spans="1:39" ht="13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6"/>
      <c r="AK242" s="6"/>
      <c r="AL242" s="6"/>
      <c r="AM242" s="6"/>
    </row>
    <row r="243" spans="1:39" ht="13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6"/>
      <c r="AK243" s="6"/>
      <c r="AL243" s="6"/>
      <c r="AM243" s="6"/>
    </row>
    <row r="244" spans="1:39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spans="1:39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spans="1:39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spans="1:39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spans="1:39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spans="1:3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spans="1:39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spans="1:39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spans="1:39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spans="1:39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spans="1:39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spans="1:39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spans="1:39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spans="1:39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spans="1:39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spans="1:3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spans="1:39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spans="1:39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spans="1:39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spans="1:39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spans="1:39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spans="1:39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spans="1:39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spans="1:39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spans="1:39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spans="1:3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spans="1:39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spans="1:39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spans="1:39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spans="1:39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spans="1:39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spans="1:39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spans="1:39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spans="1:39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spans="1:39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spans="1:3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spans="1:39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spans="1:39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spans="1:39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spans="1:39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spans="1:39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spans="1:39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spans="1:39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spans="1:39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spans="1:39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spans="1:3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spans="1:39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spans="1:39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spans="1:39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spans="1:39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spans="1:39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spans="1:39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spans="1:39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spans="1:39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spans="1:39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spans="1:3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spans="1:39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spans="1:39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spans="1:39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spans="1:39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spans="1:39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spans="1:39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spans="1:39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spans="1:39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spans="1:39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spans="1:3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spans="1:39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spans="1:39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spans="1:39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spans="1:39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spans="1:39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spans="1:39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spans="1:39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spans="1:39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spans="1:39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spans="1:3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spans="1:39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spans="1:39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spans="1:39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spans="1:39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spans="1:39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spans="1:39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spans="1:39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spans="1:39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spans="1:39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spans="1:3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spans="1:39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spans="1:39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spans="1:39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spans="1:39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spans="1:39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spans="1:39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spans="1:39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spans="1:39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spans="1:39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spans="1: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spans="1:39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spans="1:39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spans="1:39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spans="1:39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spans="1:39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spans="1:39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spans="1:39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spans="1:39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spans="1:39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spans="1:3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spans="1:39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spans="1:39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spans="1:39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spans="1:39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spans="1:39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spans="1:39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spans="1:39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spans="1:39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spans="1:39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spans="1:3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spans="1:39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spans="1:39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spans="1:39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spans="1:39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spans="1:39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spans="1:39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spans="1:39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spans="1:39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spans="1:39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spans="1:3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spans="1:39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spans="1:39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 spans="1:39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 spans="1:39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 spans="1:39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 spans="1:39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 spans="1:39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 spans="1:39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 spans="1:39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 spans="1:3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 spans="1:39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 spans="1:39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 spans="1:39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 spans="1:39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 spans="1:39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 spans="1:39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 spans="1:39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 spans="1:39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 spans="1:39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 spans="1:3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 spans="1:39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 spans="1:39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 spans="1:39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 spans="1:39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 spans="1:39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 spans="1:39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 spans="1:39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 spans="1:39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 spans="1:39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 spans="1:3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 spans="1:39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spans="1:39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 spans="1:39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 spans="1:39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 spans="1:39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 spans="1:39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 spans="1:39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 spans="1:39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 spans="1:39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 spans="1:3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 spans="1:39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 spans="1:39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 spans="1:39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 spans="1:39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 spans="1:39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 spans="1:39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 spans="1:39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 spans="1:39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 spans="1:39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 spans="1:3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 spans="1:39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 spans="1:39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 spans="1:39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 spans="1:39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spans="1:39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 spans="1:39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 spans="1:39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 spans="1:39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 spans="1:39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spans="1:3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 spans="1:39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 spans="1:39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spans="1:39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spans="1:39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spans="1:39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spans="1:39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 spans="1:39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 spans="1:39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 spans="1:39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 spans="1: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 spans="1:39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 spans="1:39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 spans="1:39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 spans="1:39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 spans="1:39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spans="1:39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 spans="1:39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 spans="1:39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 spans="1:39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 spans="1:3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 spans="1:39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 spans="1:39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 spans="1:39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 spans="1:39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 spans="1:39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 spans="1:39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 spans="1:39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 spans="1:39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 spans="1:39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 spans="1:3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 spans="1:39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 spans="1:39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 spans="1:39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 spans="1:39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 spans="1:39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 spans="1:39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 spans="1:39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 spans="1:39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 spans="1:39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 spans="1:3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 spans="1:39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 spans="1:39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 spans="1:39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 spans="1:39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 spans="1:39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 spans="1:39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 spans="1:39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 spans="1:39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 spans="1:39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 spans="1:3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 spans="1:39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 spans="1:39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 spans="1:39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 spans="1:39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 spans="1:39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 spans="1:39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 spans="1:39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 spans="1:39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 spans="1:39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 spans="1:3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spans="1:39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 spans="1:39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 spans="1:39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 spans="1:39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 spans="1:39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 spans="1:39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 spans="1:39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 spans="1:39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 spans="1:39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 spans="1:3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 spans="1:39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 spans="1:39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 spans="1:39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 spans="1:39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 spans="1:39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 spans="1:39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 spans="1:39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 spans="1:39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 spans="1:39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 spans="1:3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 spans="1:39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 spans="1:39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 spans="1:39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 spans="1:39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 spans="1:39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 spans="1:39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 spans="1:39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 spans="1:39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 spans="1:39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spans="1:3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 spans="1:39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 spans="1:39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 spans="1:39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 spans="1:39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spans="1:39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spans="1:39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spans="1:39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spans="1:39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spans="1:39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spans="1:3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spans="1:39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spans="1:39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spans="1:39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spans="1:39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spans="1:39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spans="1:39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spans="1:39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 spans="1:39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 spans="1:39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 spans="1: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 spans="1:39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 spans="1:39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 spans="1:39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 spans="1:39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 spans="1:39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 spans="1:39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 spans="1:39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 spans="1:39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 spans="1:39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 spans="1:3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 spans="1:39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spans="1:39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 spans="1:39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 spans="1:39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 spans="1:39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 spans="1:39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 spans="1:39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 spans="1:39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 spans="1:39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 spans="1:3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 spans="1:39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 spans="1:39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 spans="1:39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 spans="1:39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 spans="1:39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 spans="1:39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 spans="1:39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 spans="1:39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 spans="1:39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 spans="1:3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 spans="1:39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 spans="1:39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 spans="1:39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 spans="1:39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 spans="1:39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 spans="1:39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 spans="1:39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 spans="1:39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 spans="1:39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 spans="1:3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 spans="1:39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 spans="1:39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 spans="1:39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 spans="1:39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 spans="1:39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 spans="1:39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 spans="1:39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 spans="1:39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 spans="1:39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 spans="1:3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 spans="1:39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 spans="1:39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 spans="1:39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 spans="1:39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spans="1:39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 spans="1:39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 spans="1:39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 spans="1:39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 spans="1:39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 spans="1:3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 spans="1:39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 spans="1:39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 spans="1:39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 spans="1:39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 spans="1:39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 spans="1:39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 spans="1:39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 spans="1:39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 spans="1:39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 spans="1:3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 spans="1:39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 spans="1:39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 spans="1:39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 spans="1:39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 spans="1:39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 spans="1:39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 spans="1:39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 spans="1:39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 spans="1:39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 spans="1:3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 spans="1:39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 spans="1:39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 spans="1:39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 spans="1:39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 spans="1:39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 spans="1:39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 spans="1:39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 spans="1:39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 spans="1:39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 spans="1:3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 spans="1:39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 spans="1:39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 spans="1:39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 spans="1:39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 spans="1:39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 spans="1:39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 spans="1:39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 spans="1:39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 spans="1:39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 spans="1: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 spans="1:39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 spans="1:39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 spans="1:39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 spans="1:39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 spans="1:39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 spans="1:39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 spans="1:39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 spans="1:39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 spans="1:39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 spans="1:3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 spans="1:39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 spans="1:39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 spans="1:39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 spans="1:39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 spans="1:39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 spans="1:39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 spans="1:39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 spans="1:39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 spans="1:39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 spans="1:3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 spans="1:39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 spans="1:39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 spans="1:39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 spans="1:39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 spans="1:39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 spans="1:39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 spans="1:39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 spans="1:39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spans="1:39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 spans="1:3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 spans="1:39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 spans="1:39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 spans="1:39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 spans="1:39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 spans="1:39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 spans="1:39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 spans="1:39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 spans="1:39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 spans="1:39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 spans="1:3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 spans="1:39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 spans="1:39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 spans="1:39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 spans="1:39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 spans="1:39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 spans="1:39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 spans="1:39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 spans="1:39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 spans="1:39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 spans="1:3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 spans="1:39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 spans="1:39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 spans="1:39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 spans="1:39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 spans="1:39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 spans="1:39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 spans="1:39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 spans="1:39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 spans="1:39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 spans="1:3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 spans="1:39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 spans="1:39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 spans="1:39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 spans="1:39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 spans="1:39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 spans="1:39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 spans="1:39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 spans="1:39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 spans="1:39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 spans="1:3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 spans="1:39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 spans="1:39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 spans="1:39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 spans="1:39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 spans="1:39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 spans="1:39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 spans="1:39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 spans="1:39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 spans="1:39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 spans="1:3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 spans="1:39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 spans="1:39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 spans="1:39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 spans="1:39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 spans="1:39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 spans="1:39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 spans="1:39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 spans="1:39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 spans="1:39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 spans="1:3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spans="1:39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 spans="1:39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 spans="1:39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 spans="1:39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 spans="1:39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 spans="1:39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 spans="1:39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 spans="1:39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 spans="1:39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 spans="1: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 spans="1:39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 spans="1:39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 spans="1:39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 spans="1:39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 spans="1:39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 spans="1:39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 spans="1:39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 spans="1:39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 spans="1:39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 spans="1:3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 spans="1:39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 spans="1:39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 spans="1:39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 spans="1:39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 spans="1:39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 spans="1:39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 spans="1:39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 spans="1:39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 spans="1:39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 spans="1:3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 spans="1:39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 spans="1:39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 spans="1:39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 spans="1:39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 spans="1:39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 spans="1:39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 spans="1:39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 spans="1:39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 spans="1:39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 spans="1:3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 spans="1:39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 spans="1:39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 spans="1:39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 spans="1:39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 spans="1:39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 spans="1:39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 spans="1:39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 spans="1:39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 spans="1:39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 spans="1:3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 spans="1:39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 spans="1:39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 spans="1:39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 spans="1:39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 spans="1:39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 spans="1:39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 spans="1:39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 spans="1:39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 spans="1:39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 spans="1:3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 spans="1:39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 spans="1:39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 spans="1:39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 spans="1:39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 spans="1:39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 spans="1:39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 spans="1:39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 spans="1:39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 spans="1:39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 spans="1:3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 spans="1:39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 spans="1:39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 spans="1:39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 spans="1:39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spans="1:39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 spans="1:39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 spans="1:39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 spans="1:39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 spans="1:39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 spans="1:3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 spans="1:39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 spans="1:39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 spans="1:39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 spans="1:39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 spans="1:39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 spans="1:39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 spans="1:39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 spans="1:39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 spans="1:39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 spans="1:3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 spans="1:39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 spans="1:39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 spans="1:39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 spans="1:39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 spans="1:39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 spans="1:39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 spans="1:39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 spans="1:39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 spans="1:39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 spans="1:3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 spans="1:39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 spans="1:39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 spans="1:39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 spans="1:39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 spans="1:39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 spans="1:39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  <row r="836" spans="1:39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 spans="1:39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</row>
    <row r="838" spans="1:39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</row>
    <row r="839" spans="1: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</row>
    <row r="840" spans="1:39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</row>
    <row r="841" spans="1:39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 spans="1:39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</row>
    <row r="843" spans="1:39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</row>
    <row r="844" spans="1:39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</row>
    <row r="845" spans="1:39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</row>
    <row r="846" spans="1:39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</row>
    <row r="847" spans="1:39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</row>
    <row r="848" spans="1:39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</row>
    <row r="849" spans="1:3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</row>
    <row r="850" spans="1:39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</row>
    <row r="851" spans="1:39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</row>
    <row r="852" spans="1:39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</row>
    <row r="853" spans="1:39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</row>
    <row r="854" spans="1:39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</row>
    <row r="855" spans="1:39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</row>
    <row r="856" spans="1:39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</row>
    <row r="857" spans="1:39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</row>
    <row r="858" spans="1:39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</row>
    <row r="859" spans="1:3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</row>
    <row r="860" spans="1:39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</row>
    <row r="861" spans="1:39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</row>
    <row r="862" spans="1:39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</row>
    <row r="863" spans="1:39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</row>
    <row r="864" spans="1:39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</row>
    <row r="865" spans="1:39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</row>
    <row r="866" spans="1:39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</row>
    <row r="867" spans="1:39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</row>
    <row r="868" spans="1:39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</row>
    <row r="869" spans="1:3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</row>
    <row r="870" spans="1:39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</row>
    <row r="871" spans="1:39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</row>
    <row r="872" spans="1:39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</row>
    <row r="873" spans="1:39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</row>
    <row r="874" spans="1:39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</row>
    <row r="875" spans="1:39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</row>
    <row r="876" spans="1:39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</row>
    <row r="877" spans="1:39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</row>
    <row r="878" spans="1:39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</row>
    <row r="879" spans="1:3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</row>
    <row r="880" spans="1:39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</row>
    <row r="881" spans="1:39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</row>
    <row r="882" spans="1:39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</row>
    <row r="883" spans="1:39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</row>
    <row r="884" spans="1:39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</row>
    <row r="885" spans="1:39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</row>
    <row r="886" spans="1:39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</row>
    <row r="887" spans="1:39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</row>
    <row r="888" spans="1:39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</row>
    <row r="889" spans="1:3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</row>
    <row r="890" spans="1:39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</row>
    <row r="891" spans="1:39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</row>
    <row r="892" spans="1:39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</row>
    <row r="893" spans="1:39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</row>
    <row r="894" spans="1:39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</row>
    <row r="895" spans="1:39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</row>
    <row r="896" spans="1:39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</row>
    <row r="897" spans="1:39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</row>
    <row r="898" spans="1:39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</row>
    <row r="899" spans="1:3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</row>
    <row r="900" spans="1:39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</row>
    <row r="901" spans="1:39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</row>
    <row r="902" spans="1:39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</row>
    <row r="903" spans="1:39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</row>
    <row r="904" spans="1:39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</row>
    <row r="905" spans="1:39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</row>
    <row r="906" spans="1:39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</row>
    <row r="907" spans="1:39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</row>
    <row r="908" spans="1:39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</row>
    <row r="909" spans="1:3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</row>
    <row r="910" spans="1:39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</row>
    <row r="911" spans="1:39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</row>
    <row r="912" spans="1:39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</row>
    <row r="913" spans="1:39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</row>
    <row r="914" spans="1:39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</row>
    <row r="915" spans="1:39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</row>
    <row r="916" spans="1:39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</row>
    <row r="917" spans="1:39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</row>
    <row r="918" spans="1:39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</row>
    <row r="919" spans="1:3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</row>
    <row r="920" spans="1:39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</row>
    <row r="921" spans="1:39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</row>
    <row r="922" spans="1:39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</row>
    <row r="923" spans="1:39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</row>
    <row r="924" spans="1:39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</row>
    <row r="925" spans="1:39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</row>
    <row r="926" spans="1:39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</row>
    <row r="927" spans="1:39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</row>
    <row r="928" spans="1:39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</row>
    <row r="929" spans="1:3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</row>
    <row r="930" spans="1:39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</row>
    <row r="931" spans="1:39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</row>
    <row r="932" spans="1:39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</row>
    <row r="933" spans="1:39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</row>
    <row r="934" spans="1:39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</row>
    <row r="935" spans="1:39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</row>
    <row r="936" spans="1:39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</row>
    <row r="937" spans="1:39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</row>
    <row r="938" spans="1:39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</row>
    <row r="939" spans="1: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</row>
    <row r="940" spans="1:39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</row>
    <row r="941" spans="1:39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</row>
    <row r="942" spans="1:39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</row>
    <row r="943" spans="1:39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</row>
    <row r="944" spans="1:39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</row>
    <row r="945" spans="1:39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</row>
    <row r="946" spans="1:39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</row>
    <row r="947" spans="1:39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</row>
    <row r="948" spans="1:39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</row>
    <row r="949" spans="1:3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</row>
    <row r="950" spans="1:39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</row>
    <row r="951" spans="1:39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</row>
    <row r="952" spans="1:39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</row>
    <row r="953" spans="1:39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</row>
    <row r="954" spans="1:39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</row>
    <row r="955" spans="1:39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</row>
    <row r="956" spans="1:39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</row>
    <row r="957" spans="1:39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</row>
    <row r="958" spans="1:39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</row>
    <row r="959" spans="1:3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</row>
    <row r="960" spans="1:39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</row>
    <row r="961" spans="1:39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</row>
    <row r="962" spans="1:39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</row>
    <row r="963" spans="1:39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</row>
    <row r="964" spans="1:39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</row>
    <row r="965" spans="1:39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</row>
    <row r="966" spans="1:39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</row>
    <row r="967" spans="1:39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</row>
    <row r="968" spans="1:39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</row>
    <row r="969" spans="1:3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</row>
    <row r="970" spans="1:39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</row>
    <row r="971" spans="1:39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</row>
    <row r="972" spans="1:39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</row>
    <row r="973" spans="1:39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</row>
    <row r="974" spans="1:39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</row>
    <row r="975" spans="1:39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</row>
    <row r="976" spans="1:39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</row>
    <row r="977" spans="1:39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</row>
    <row r="978" spans="1:39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</row>
    <row r="979" spans="1:3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</row>
    <row r="980" spans="1:39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</row>
    <row r="981" spans="1:39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</row>
    <row r="982" spans="1:39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</row>
    <row r="983" spans="1:39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</row>
    <row r="984" spans="1:39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</row>
    <row r="985" spans="1:39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</row>
    <row r="986" spans="1:39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</row>
    <row r="987" spans="1:39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</row>
    <row r="988" spans="1:39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</row>
    <row r="989" spans="1:3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</row>
    <row r="990" spans="1:39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</row>
    <row r="991" spans="1:39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</row>
    <row r="992" spans="1:39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</row>
    <row r="993" spans="1:39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</row>
    <row r="994" spans="1:39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</row>
    <row r="995" spans="1:39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</row>
    <row r="996" spans="1:39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</row>
    <row r="997" spans="1:39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</row>
    <row r="998" spans="1:39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</row>
    <row r="999" spans="1:3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</row>
    <row r="1000" spans="1:39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</row>
  </sheetData>
  <autoFilter ref="A1:AF43" xr:uid="{00000000-0009-0000-0000-000000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CriticalMineral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Osei-Owusu, Simone</dc:creator>
  <cp:lastModifiedBy>Camilo Ramirez Gomez</cp:lastModifiedBy>
  <dcterms:created xsi:type="dcterms:W3CDTF">2024-07-21T14:28:27Z</dcterms:created>
  <dcterms:modified xsi:type="dcterms:W3CDTF">2026-01-27T09:19:41Z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0x010100633F727AA7180443A862CD9A25741398</vt:lpwstr>
  </property>
  <property fmtid="{D5CDD505-2E9C-101B-9397-08002B2CF9AE}" pid="3" name="MediaServiceImageTags">
    <vt:lpwstr/>
  </property>
</Properties>
</file>